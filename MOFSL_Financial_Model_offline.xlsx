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E0F2FD88-4E15-4280-8A59-BFE42D8C089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ssumptions" sheetId="1" r:id="rId1"/>
    <sheet name="3-Statement" sheetId="2" r:id="rId2"/>
    <sheet name="DCF" sheetId="3" r:id="rId3"/>
    <sheet name="LBO" sheetId="4" r:id="rId4"/>
    <sheet name="Comps" sheetId="5" r:id="rId5"/>
    <sheet name="Football Field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6" l="1"/>
  <c r="D10" i="6"/>
  <c r="H10" i="6" s="1"/>
  <c r="C10" i="6"/>
  <c r="G10" i="6" s="1"/>
  <c r="B10" i="6"/>
  <c r="F10" i="6" s="1"/>
  <c r="H9" i="6"/>
  <c r="G9" i="6"/>
  <c r="F9" i="6"/>
  <c r="E21" i="5"/>
  <c r="E20" i="5"/>
  <c r="B20" i="5"/>
  <c r="E19" i="5"/>
  <c r="E18" i="5"/>
  <c r="B18" i="5"/>
  <c r="H14" i="5"/>
  <c r="B21" i="5" s="1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B19" i="5" s="1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B57" i="4"/>
  <c r="B54" i="4"/>
  <c r="B53" i="4"/>
  <c r="B6" i="4"/>
  <c r="B51" i="4" s="1"/>
  <c r="B30" i="3"/>
  <c r="B28" i="3"/>
  <c r="B20" i="3"/>
  <c r="B19" i="3"/>
  <c r="D14" i="3"/>
  <c r="C14" i="3"/>
  <c r="B14" i="3"/>
  <c r="B9" i="3"/>
  <c r="F4" i="2"/>
  <c r="B17" i="4" s="1"/>
  <c r="B35" i="4" s="1"/>
  <c r="G4" i="2" l="1"/>
  <c r="F6" i="2"/>
  <c r="B7" i="4"/>
  <c r="B46" i="4" s="1"/>
  <c r="B7" i="3"/>
  <c r="B8" i="4"/>
  <c r="B8" i="3"/>
  <c r="B23" i="4" l="1"/>
  <c r="B10" i="4"/>
  <c r="B9" i="4"/>
  <c r="C20" i="5"/>
  <c r="D20" i="5" s="1"/>
  <c r="F20" i="5" s="1"/>
  <c r="G20" i="5" s="1"/>
  <c r="B4" i="3"/>
  <c r="F8" i="2"/>
  <c r="C18" i="5"/>
  <c r="D18" i="5" s="1"/>
  <c r="F18" i="5" s="1"/>
  <c r="G18" i="5" s="1"/>
  <c r="B18" i="4"/>
  <c r="C19" i="5"/>
  <c r="D19" i="5" s="1"/>
  <c r="F19" i="5" s="1"/>
  <c r="G19" i="5" s="1"/>
  <c r="C21" i="5"/>
  <c r="D21" i="5" s="1"/>
  <c r="F21" i="5" s="1"/>
  <c r="G21" i="5" s="1"/>
  <c r="C17" i="4"/>
  <c r="C35" i="4" s="1"/>
  <c r="C8" i="3"/>
  <c r="C7" i="3"/>
  <c r="H4" i="2"/>
  <c r="G6" i="2"/>
  <c r="C9" i="3"/>
  <c r="G8" i="2" l="1"/>
  <c r="C18" i="4"/>
  <c r="C4" i="3"/>
  <c r="B7" i="6"/>
  <c r="F7" i="6" s="1"/>
  <c r="D7" i="6"/>
  <c r="H7" i="6" s="1"/>
  <c r="B5" i="3"/>
  <c r="B6" i="3" s="1"/>
  <c r="B10" i="3" s="1"/>
  <c r="B15" i="3" s="1"/>
  <c r="D17" i="4"/>
  <c r="D35" i="4" s="1"/>
  <c r="D8" i="3"/>
  <c r="H6" i="2"/>
  <c r="D7" i="3"/>
  <c r="D9" i="3"/>
  <c r="I4" i="2"/>
  <c r="I6" i="2" s="1"/>
  <c r="I8" i="2" s="1"/>
  <c r="C7" i="6"/>
  <c r="G7" i="6" s="1"/>
  <c r="B32" i="4"/>
  <c r="B19" i="4"/>
  <c r="B27" i="4"/>
  <c r="B26" i="4"/>
  <c r="B28" i="4" s="1"/>
  <c r="B33" i="4" s="1"/>
  <c r="B24" i="4"/>
  <c r="B36" i="4" s="1"/>
  <c r="H8" i="2" l="1"/>
  <c r="D18" i="4"/>
  <c r="D4" i="3"/>
  <c r="B41" i="4"/>
  <c r="B43" i="4" s="1"/>
  <c r="C32" i="4"/>
  <c r="C19" i="4"/>
  <c r="B25" i="4"/>
  <c r="C23" i="4" s="1"/>
  <c r="C5" i="3"/>
  <c r="C6" i="3" s="1"/>
  <c r="C10" i="3" s="1"/>
  <c r="C15" i="3" s="1"/>
  <c r="B34" i="4"/>
  <c r="B37" i="4" s="1"/>
  <c r="B52" i="4" l="1"/>
  <c r="C24" i="4"/>
  <c r="C36" i="4" s="1"/>
  <c r="C26" i="4"/>
  <c r="C28" i="4" s="1"/>
  <c r="C33" i="4" s="1"/>
  <c r="C34" i="4" s="1"/>
  <c r="C25" i="4"/>
  <c r="D23" i="4" s="1"/>
  <c r="C27" i="4"/>
  <c r="D32" i="4"/>
  <c r="D19" i="4"/>
  <c r="D5" i="3"/>
  <c r="D6" i="3" s="1"/>
  <c r="D10" i="3" s="1"/>
  <c r="B18" i="3" l="1"/>
  <c r="B21" i="3" s="1"/>
  <c r="B22" i="3" s="1"/>
  <c r="B26" i="3" s="1"/>
  <c r="D15" i="3"/>
  <c r="B25" i="3" s="1"/>
  <c r="B27" i="3" s="1"/>
  <c r="B29" i="3" s="1"/>
  <c r="B31" i="3" s="1"/>
  <c r="C37" i="4"/>
  <c r="D26" i="4"/>
  <c r="D24" i="4"/>
  <c r="D36" i="4" s="1"/>
  <c r="D27" i="4"/>
  <c r="D25" i="4"/>
  <c r="E23" i="4" s="1"/>
  <c r="D28" i="4" l="1"/>
  <c r="D33" i="4" s="1"/>
  <c r="D6" i="6"/>
  <c r="H6" i="6" s="1"/>
  <c r="C6" i="6"/>
  <c r="G6" i="6" s="1"/>
  <c r="B6" i="6"/>
  <c r="F6" i="6" s="1"/>
  <c r="H19" i="5"/>
  <c r="H20" i="5"/>
  <c r="H18" i="5"/>
  <c r="H21" i="5"/>
  <c r="E26" i="4"/>
  <c r="E27" i="4"/>
  <c r="E24" i="4"/>
  <c r="E36" i="4" s="1"/>
  <c r="E25" i="4"/>
  <c r="F23" i="4" s="1"/>
  <c r="F26" i="4" l="1"/>
  <c r="F24" i="4"/>
  <c r="F36" i="4" s="1"/>
  <c r="F27" i="4"/>
  <c r="F25" i="4"/>
  <c r="B44" i="4" s="1"/>
  <c r="B45" i="4" s="1"/>
  <c r="E28" i="4"/>
  <c r="E33" i="4" s="1"/>
  <c r="D34" i="4"/>
  <c r="D37" i="4"/>
  <c r="B47" i="4" l="1"/>
  <c r="D8" i="6"/>
  <c r="H8" i="6" s="1"/>
  <c r="H11" i="6" s="1"/>
  <c r="B27" i="6" s="1"/>
  <c r="C8" i="6"/>
  <c r="G8" i="6" s="1"/>
  <c r="G11" i="6" s="1"/>
  <c r="B26" i="6" s="1"/>
  <c r="B29" i="6" s="1"/>
  <c r="B8" i="6"/>
  <c r="F8" i="6" s="1"/>
  <c r="F11" i="6" s="1"/>
  <c r="B25" i="6" s="1"/>
  <c r="F28" i="4"/>
  <c r="F33" i="4" s="1"/>
  <c r="B48" i="4" l="1"/>
  <c r="B56" i="4" s="1"/>
  <c r="B55" i="4"/>
  <c r="E35" i="4"/>
  <c r="E17" i="4"/>
  <c r="F35" i="4"/>
  <c r="F17" i="4"/>
  <c r="F19" i="4"/>
  <c r="F37" i="4"/>
  <c r="F18" i="4"/>
  <c r="F32" i="4"/>
  <c r="F34" i="4"/>
  <c r="E19" i="4"/>
  <c r="E34" i="4"/>
  <c r="E18" i="4"/>
  <c r="E32" i="4"/>
  <c r="E37" i="4"/>
</calcChain>
</file>

<file path=xl/sharedStrings.xml><?xml version="1.0" encoding="utf-8"?>
<sst xmlns="http://schemas.openxmlformats.org/spreadsheetml/2006/main" count="298" uniqueCount="207">
  <si>
    <t>MOTILAL OSWAL -- ASSUMPTIONS &amp; KEY DRIVERS</t>
  </si>
  <si>
    <t>Driver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</si>
  <si>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</si>
  <si>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</si>
  <si>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</si>
  <si>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</si>
  <si>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</si>
  <si>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</si>
  <si>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</si>
  <si>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</si>
  <si>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REVENUE ASSUMPTIONS</t>
  </si>
  <si>
    <t>Revenue Growth Rate (%)</t>
  </si>
  <si>
    <t>MARGIN ASSUMPTIONS</t>
  </si>
  <si>
    <t>EBITDA Margin (%)</t>
  </si>
  <si>
    <t>Net Income Margin (%)</t>
  </si>
  <si>
    <t>Tax Rate (%)</t>
  </si>
  <si>
    <t>DCF ASSUMPTIONS</t>
  </si>
  <si>
    <t>WACC (%)</t>
  </si>
  <si>
    <t>Risk Free Rate (%)</t>
  </si>
  <si>
    <t>Equity Risk Premium (%)</t>
  </si>
  <si>
    <t>Beta</t>
  </si>
  <si>
    <t>Terminal Growth Rate (%)</t>
  </si>
  <si>
    <t>Net Debt (Rs Cr)</t>
  </si>
  <si>
    <t>Shares Outstanding (Cr)</t>
  </si>
  <si>
    <t>LBO ASSUMPTIONS</t>
  </si>
  <si>
    <t>Entry EV/EBITDA Multiple (x)</t>
  </si>
  <si>
    <t>Exit EV/EBITDA Multiple (x)</t>
  </si>
  <si>
    <t>Debt % of Entry EV</t>
  </si>
  <si>
    <t>Senior Debt % of Total Debt</t>
  </si>
  <si>
    <t>Mezz Debt % of Total Debt</t>
  </si>
  <si>
    <t>Senior Interest Rate (%)</t>
  </si>
  <si>
    <t>Mezz Interest Rate (%)</t>
  </si>
  <si>
    <t>Amortisation (% of debt/yr)</t>
  </si>
  <si>
    <t>Holding Period (years)</t>
  </si>
  <si>
    <t>THREE-STATEMENT MODEL -- MOTILAL OSWAL (Rs Crores)</t>
  </si>
  <si>
    <t>INCOME STATEMENT</t>
  </si>
  <si>
    <t>Total Revenue</t>
  </si>
  <si>
    <t xml:space="preserve">  Gross Profit</t>
  </si>
  <si>
    <t>---</t>
  </si>
  <si>
    <t xml:space="preserve">  EBITDA</t>
  </si>
  <si>
    <t xml:space="preserve">  EBIT</t>
  </si>
  <si>
    <t xml:space="preserve">  Net Income</t>
  </si>
  <si>
    <t>BALANCE SHEET</t>
  </si>
  <si>
    <t>Total Assets</t>
  </si>
  <si>
    <t xml:space="preserve">  Cash &amp; Equivalents</t>
  </si>
  <si>
    <t xml:space="preserve">  Total Debt</t>
  </si>
  <si>
    <t xml:space="preserve">  Stockholders Equity</t>
  </si>
  <si>
    <t>CASH FLOW STATEMENT</t>
  </si>
  <si>
    <t>Operating Cash Flow</t>
  </si>
  <si>
    <t xml:space="preserve">  Capital Expenditure</t>
  </si>
  <si>
    <t xml:space="preserve">  Free Cash Flow</t>
  </si>
  <si>
    <t xml:space="preserve">  Financing Cash Flow</t>
  </si>
  <si>
    <t>DCF VALUATION -- MOTILAL OSWAL (Rs Crores)</t>
  </si>
  <si>
    <t>STEP 1 -- UNLEVERED FREE CASH FLOW (UFCF)</t>
  </si>
  <si>
    <t>EBITDA (from 3-Stmt)</t>
  </si>
  <si>
    <t xml:space="preserve">  (-) Tax on EBIT (25%)</t>
  </si>
  <si>
    <t xml:space="preserve">  NOPAT</t>
  </si>
  <si>
    <t xml:space="preserve">  (+) D&amp;A est. (2% Rev)</t>
  </si>
  <si>
    <t xml:space="preserve">  (-) Capex (2% Rev)</t>
  </si>
  <si>
    <t xml:space="preserve">  (-) Change in NWC (3%)</t>
  </si>
  <si>
    <t>Unlevered Free Cash Flow</t>
  </si>
  <si>
    <t>STEP 2 -- DISCOUNT FACTORS &amp; PRESENT VALUES</t>
  </si>
  <si>
    <t>Discount Period (mid-year)</t>
  </si>
  <si>
    <t>Discount Factor</t>
  </si>
  <si>
    <t>PV of UFCF</t>
  </si>
  <si>
    <t>STEP 3 -- TERMINAL VALUE (GORDON GROWTH)</t>
  </si>
  <si>
    <t>Terminal Year UFCF (FY2028E)</t>
  </si>
  <si>
    <t>Terminal Growth Rate (g)</t>
  </si>
  <si>
    <t>WACC</t>
  </si>
  <si>
    <t>Terminal Value = UFCF*(1+g)/(WACC-g)</t>
  </si>
  <si>
    <t>PV of Terminal Value</t>
  </si>
  <si>
    <t>STEP 4 -- ENTERPRISE VALUE TO EQUITY VALUE</t>
  </si>
  <si>
    <t>Sum of PV of UFCFs</t>
  </si>
  <si>
    <t>(+) PV of Terminal Value</t>
  </si>
  <si>
    <t>Enterprise Value (EV)</t>
  </si>
  <si>
    <t>(-) Net Debt</t>
  </si>
  <si>
    <t>Equity Value</t>
  </si>
  <si>
    <t>Implied Share Price (Rs)</t>
  </si>
  <si>
    <t>STEP 5 -- SENSITIVITY: WACC vs TERMINAL GROWTH</t>
  </si>
  <si>
    <t>Share Price  WACC vs TGR</t>
  </si>
  <si>
    <t>LBO MODEL -- MOTILAL OSWAL (Rs Crores)</t>
  </si>
  <si>
    <t>TRANSACTION ASSUMPTIONS</t>
  </si>
  <si>
    <t>Entry EBITDA (FY2026E, Rs Cr)</t>
  </si>
  <si>
    <t>Entry Enterprise Value (Rs Cr)</t>
  </si>
  <si>
    <t>(-) Equity Contribution (50%)</t>
  </si>
  <si>
    <t>(+) Total Debt (50%)</t>
  </si>
  <si>
    <t>Senior Debt (70% of debt)</t>
  </si>
  <si>
    <t>Mezz Debt (30% of debt)</t>
  </si>
  <si>
    <t>5-YEAR PROJECTIONS</t>
  </si>
  <si>
    <t>FY2030E</t>
  </si>
  <si>
    <t>Revenue (Rs Cr)</t>
  </si>
  <si>
    <t>EBITDA (Rs Cr)</t>
  </si>
  <si>
    <t>DEBT SCHEDULE</t>
  </si>
  <si>
    <t>Opening Total Debt</t>
  </si>
  <si>
    <t xml:space="preserve">  (-) Amortisation</t>
  </si>
  <si>
    <t>Closing Total Debt</t>
  </si>
  <si>
    <t>Senior Interest</t>
  </si>
  <si>
    <t>Mezz Interest</t>
  </si>
  <si>
    <t>Total Interest Expense</t>
  </si>
  <si>
    <t>FREE CASH FLOW</t>
  </si>
  <si>
    <t>EBITDA</t>
  </si>
  <si>
    <t xml:space="preserve">  (-) Interest</t>
  </si>
  <si>
    <t xml:space="preserve">  (-) Tax (25%)</t>
  </si>
  <si>
    <t>Free Cash Flow</t>
  </si>
  <si>
    <t>EXIT ASSUMPTIONS &amp; RETURNS</t>
  </si>
  <si>
    <t>Exit Year</t>
  </si>
  <si>
    <t>Exit EBITDA (FY2030E, Rs Cr)</t>
  </si>
  <si>
    <t>Exit Enterprise Value (Rs Cr)</t>
  </si>
  <si>
    <t>(-) Closing Debt at Exit</t>
  </si>
  <si>
    <t>Equity Value at Exit (Rs Cr)</t>
  </si>
  <si>
    <t>Initial Equity Invested (Rs Cr)</t>
  </si>
  <si>
    <t>Money-on-Money MOIC</t>
  </si>
  <si>
    <t>IRR (5-Year)</t>
  </si>
  <si>
    <t>RETURNS SUMMARY</t>
  </si>
  <si>
    <t>Entry EV (Rs Cr)</t>
  </si>
  <si>
    <t>Exit EV (Rs Cr)</t>
  </si>
  <si>
    <t>Entry Multiple (x)</t>
  </si>
  <si>
    <t>Exit Multiple (x)</t>
  </si>
  <si>
    <t>MOIC</t>
  </si>
  <si>
    <t>IRR</t>
  </si>
  <si>
    <t>Holding Period (Yrs)</t>
  </si>
  <si>
    <t>COMPARABLE COMPANIES ANALYSIS -- INDIAN IB SECTOR (Rs Crores)</t>
  </si>
  <si>
    <t>Company</t>
  </si>
  <si>
    <t>Mkt Cap</t>
  </si>
  <si>
    <t>EV</t>
  </si>
  <si>
    <t>Revenue</t>
  </si>
  <si>
    <t>Net Income</t>
  </si>
  <si>
    <t>EV/EBITDA</t>
  </si>
  <si>
    <t>P/E</t>
  </si>
  <si>
    <t>PEER GROUP — INDIAN INVESTMENT BANKS</t>
  </si>
  <si>
    <t>Motilal Oswal (Target)</t>
  </si>
  <si>
    <t>Nuvama Wealth Mgmt</t>
  </si>
  <si>
    <t>JM Financial</t>
  </si>
  <si>
    <t>IIFL Capital Services</t>
  </si>
  <si>
    <t>Anand Rathi Wealth</t>
  </si>
  <si>
    <t>PEER STATISTICS</t>
  </si>
  <si>
    <t>Mean</t>
  </si>
  <si>
    <t>Median</t>
  </si>
  <si>
    <t>High</t>
  </si>
  <si>
    <t>Low</t>
  </si>
  <si>
    <t>IMPLIED VALUATION OF MOTILAL OSWAL</t>
  </si>
  <si>
    <t>Metric</t>
  </si>
  <si>
    <t>Multiple Used</t>
  </si>
  <si>
    <t>MOFSL Metric</t>
  </si>
  <si>
    <t>Implied EV</t>
  </si>
  <si>
    <t>Implied Price</t>
  </si>
  <si>
    <t>vs DCF</t>
  </si>
  <si>
    <t>EV/EBITDA — Mean</t>
  </si>
  <si>
    <t>EV/EBITDA — Median</t>
  </si>
  <si>
    <t>EV/EBITDA — High</t>
  </si>
  <si>
    <t>EV/EBITDA — Low</t>
  </si>
  <si>
    <t>KEY METRICS SUMMARY</t>
  </si>
  <si>
    <t>Revenue Gr%</t>
  </si>
  <si>
    <t>EBITDA Mgn%</t>
  </si>
  <si>
    <t>Net Inc Mgn%</t>
  </si>
  <si>
    <t>Rating</t>
  </si>
  <si>
    <t>Motilal Oswal</t>
  </si>
  <si>
    <t>TARGET</t>
  </si>
  <si>
    <t>Nuvama Wealth</t>
  </si>
  <si>
    <t>COMP</t>
  </si>
  <si>
    <t>IIFL Capital</t>
  </si>
  <si>
    <t>Anand Rathi</t>
  </si>
  <si>
    <t>FOOTBALL FIELD VALUATION SUMMARY -- MOTILAL OSWAL</t>
  </si>
  <si>
    <t>Implied Share Price (Rs) across all valuation methodologies</t>
  </si>
  <si>
    <t>STEP 1 -- VALUATION RANGE INPUTS (Rs per share)</t>
  </si>
  <si>
    <t>Methodology</t>
  </si>
  <si>
    <t>Mid</t>
  </si>
  <si>
    <t>Weight</t>
  </si>
  <si>
    <t>Wtd Low</t>
  </si>
  <si>
    <t>Wtd Mid</t>
  </si>
  <si>
    <t>Wtd High</t>
  </si>
  <si>
    <t>Notes</t>
  </si>
  <si>
    <t>DCF Valuation</t>
  </si>
  <si>
    <t>WACC 14%, TGR 5%, 3-yr projection</t>
  </si>
  <si>
    <t>EV/EBITDA Comps — Low</t>
  </si>
  <si>
    <t>Peer group: NUVAMA, JM, IIFL, ANAND RATHI</t>
  </si>
  <si>
    <t>LBO Floor Valuation</t>
  </si>
  <si>
    <t>PE entry 10x, exit 12x, 5yr, 18.9% IRR</t>
  </si>
  <si>
    <t>52-Week Trading Range</t>
  </si>
  <si>
    <t>NSE 52W Low-High range</t>
  </si>
  <si>
    <t>Book Value (P/BV 3-4x)</t>
  </si>
  <si>
    <t>Equity Rs 11,079 Cr, 14.4 Cr shares</t>
  </si>
  <si>
    <t>WEIGHTED AVERAGE</t>
  </si>
  <si>
    <t>STEP 2 -- FOOTBALL FIELD CHART (Visual Range)</t>
  </si>
  <si>
    <t>Rs200</t>
  </si>
  <si>
    <t>Rs400</t>
  </si>
  <si>
    <t>Rs600</t>
  </si>
  <si>
    <t>Rs800</t>
  </si>
  <si>
    <t>Rs1000</t>
  </si>
  <si>
    <t>Rs1200</t>
  </si>
  <si>
    <t>Rs1400</t>
  </si>
  <si>
    <t>Rs1600</t>
  </si>
  <si>
    <t>Rs1800</t>
  </si>
  <si>
    <t>DCF</t>
  </si>
  <si>
    <t>EV/EBITDA Comps</t>
  </si>
  <si>
    <t>LBO Floor</t>
  </si>
  <si>
    <t>52-Week Range</t>
  </si>
  <si>
    <t>P/Book Value</t>
  </si>
  <si>
    <t>Current Market Price ~Rs 768 (as of data fetch) | 52W High Rs 1,064 | 52W Low Rs 612</t>
  </si>
  <si>
    <t>STEP 3 -- FINAL VALUATION CONCLUSION</t>
  </si>
  <si>
    <t>Weighted Average Low  (Rs)</t>
  </si>
  <si>
    <t>Weighted Average Mid  (Rs)</t>
  </si>
  <si>
    <t>Weighted Average High (Rs)</t>
  </si>
  <si>
    <t>Current Market Price  (Rs)</t>
  </si>
  <si>
    <t>Upside to Mid (Wtd Avg)</t>
  </si>
  <si>
    <t>Analyst Rating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</si>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</sst>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"/>
    <numFmt numFmtId="166" formatCode="0.0"/>
    <numFmt numFmtId="167" formatCode="#,##0.0;\(#,##0.0\);\-"/>
    <numFmt numFmtId="168" formatCode="0.000"/>
    <numFmt numFmtId="169" formatCode="0.0\x"/>
  </numFmts>
  <fonts count="1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10"/>
      <color rgb="FFBFBFBF"/>
      <name val="Arial"/>
    </font>
    <font>
      <b/>
      <sz val="10"/>
      <color rgb="FF008000"/>
      <name val="Arial"/>
    </font>
    <font>
      <sz val="10"/>
      <color rgb="FF008000"/>
      <name val="Arial"/>
    </font>
    <font>
      <i/>
      <sz val="9"/>
      <color rgb="FF666666"/>
      <name val="Arial"/>
    </font>
    <font>
      <i/>
      <sz val="8"/>
      <color rgb="FF666666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b/>
      <sz val="8"/>
      <color rgb="FF000000"/>
      <name val="Arial"/>
    </font>
    <font>
      <b/>
      <sz val="10"/>
      <color rgb="FF375623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2E4A7A"/>
      </patternFill>
    </fill>
    <fill>
      <patternFill patternType="solid">
        <fgColor rgb="FFFFFF00"/>
      </patternFill>
    </fill>
    <fill>
      <patternFill patternType="solid">
        <fgColor rgb="FFD9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2" fontId="6" fillId="4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7" fillId="5" borderId="1" xfId="0" applyFont="1" applyFill="1" applyBorder="1"/>
    <xf numFmtId="167" fontId="8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right" vertical="center"/>
    </xf>
    <xf numFmtId="167" fontId="10" fillId="5" borderId="1" xfId="0" applyNumberFormat="1" applyFont="1" applyFill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3" fillId="2" borderId="1" xfId="0" applyFont="1" applyFill="1" applyBorder="1"/>
    <xf numFmtId="9" fontId="2" fillId="3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11" fillId="5" borderId="1" xfId="0" applyNumberFormat="1" applyFont="1" applyFill="1" applyBorder="1" applyAlignment="1">
      <alignment horizontal="right" vertical="center"/>
    </xf>
    <xf numFmtId="169" fontId="8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6" fontId="8" fillId="5" borderId="1" xfId="0" applyNumberFormat="1" applyFont="1" applyFill="1" applyBorder="1" applyAlignment="1">
      <alignment horizontal="right" vertical="center"/>
    </xf>
    <xf numFmtId="1" fontId="8" fillId="5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/>
    <xf numFmtId="3" fontId="8" fillId="7" borderId="1" xfId="0" applyNumberFormat="1" applyFont="1" applyFill="1" applyBorder="1" applyAlignment="1">
      <alignment horizontal="right" vertical="center"/>
    </xf>
    <xf numFmtId="169" fontId="8" fillId="7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9" fontId="5" fillId="0" borderId="1" xfId="0" applyNumberFormat="1" applyFont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0" fontId="2" fillId="2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14" fillId="3" borderId="1" xfId="0" applyFont="1" applyFill="1" applyBorder="1"/>
    <xf numFmtId="0" fontId="15" fillId="3" borderId="1" xfId="0" applyFont="1" applyFill="1" applyBorder="1" applyAlignment="1">
      <alignment horizontal="center" vertical="center"/>
    </xf>
    <xf numFmtId="0" fontId="16" fillId="8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6" fillId="4" borderId="1" xfId="0" applyFont="1" applyFill="1" applyBorder="1" applyAlignment="1">
      <alignment horizontal="right" vertical="center"/>
    </xf>
    <xf numFmtId="0" fontId="17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workbookViewId="0">
      <selection sqref="A1:H1"/>
    </sheetView>
  </sheetViews>
  <sheetFormatPr defaultRowHeight="14.4" x14ac:dyDescent="0.3"/>
  <cols>
    <col min="1" max="1" width="32" customWidth="1"/>
    <col min="2" max="8" width="14" customWidth="1"/>
  </cols>
  <sheetData>
    <row r="1" spans="1:9" ht="15.6" x14ac:dyDescent="0.3">
      <c r="A1" s="59" t="s">
        <v>0</v>
      </c>
      <c r="B1" s="60"/>
      <c r="C1" s="60"/>
      <c r="D1" s="60"/>
      <c r="E1" s="60"/>
      <c r="F1" s="60"/>
      <c r="G1" s="60"/>
      <c r="H1" s="60"/>
    </row>
    <row r="2" spans="1:9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61" t="s">
        <v>10</v>
      </c>
      <c r="B3" s="60"/>
      <c r="C3" s="60"/>
      <c r="D3" s="60"/>
      <c r="E3" s="60"/>
      <c r="F3" s="60"/>
      <c r="G3" s="60"/>
      <c r="H3" s="60"/>
    </row>
    <row r="4" spans="1:9" x14ac:dyDescent="0.3">
      <c r="A4" s="3" t="s">
        <v>11</v>
      </c>
      <c r="B4" s="4">
        <v>4.1000000000000002E-2</v>
      </c>
      <c r="C4" s="4">
        <v>0.35499999999999998</v>
      </c>
      <c r="D4" s="4">
        <v>0.245</v>
      </c>
      <c r="E4" s="4">
        <v>0.245</v>
      </c>
      <c r="F4" s="5">
        <v>0.18</v>
      </c>
      <c r="G4" s="5">
        <v>0.15</v>
      </c>
      <c r="H4" s="5">
        <v>0.12</v>
      </c>
      <c r="I4" s="5">
        <v>0.1</v>
      </c>
    </row>
    <row r="5" spans="1:9" x14ac:dyDescent="0.3">
      <c r="A5" s="61" t="s">
        <v>12</v>
      </c>
      <c r="B5" s="60"/>
      <c r="C5" s="60"/>
      <c r="D5" s="60"/>
      <c r="E5" s="60"/>
      <c r="F5" s="60"/>
      <c r="G5" s="60"/>
      <c r="H5" s="60"/>
    </row>
    <row r="6" spans="1:9" x14ac:dyDescent="0.3">
      <c r="A6" s="3" t="s">
        <v>13</v>
      </c>
      <c r="B6" s="4">
        <v>0.57699999999999996</v>
      </c>
      <c r="C6" s="4">
        <v>0.48799999999999999</v>
      </c>
      <c r="D6" s="4">
        <v>0.79500000000000004</v>
      </c>
      <c r="E6" s="4">
        <v>0.71099999999999997</v>
      </c>
      <c r="F6" s="5">
        <v>0.68</v>
      </c>
      <c r="G6" s="5">
        <v>0.7</v>
      </c>
      <c r="H6" s="5">
        <v>0.72</v>
      </c>
      <c r="I6" s="5">
        <v>0.72</v>
      </c>
    </row>
    <row r="7" spans="1:9" x14ac:dyDescent="0.3">
      <c r="A7" s="3" t="s">
        <v>14</v>
      </c>
      <c r="B7" s="4">
        <v>0.35699999999999998</v>
      </c>
      <c r="C7" s="4">
        <v>0.18</v>
      </c>
      <c r="D7" s="4">
        <v>0.47199999999999998</v>
      </c>
      <c r="E7" s="4">
        <v>0.38800000000000001</v>
      </c>
      <c r="F7" s="5">
        <v>0.4</v>
      </c>
      <c r="G7" s="5">
        <v>0.41</v>
      </c>
      <c r="H7" s="5">
        <v>0.42</v>
      </c>
      <c r="I7" s="5">
        <v>0.42</v>
      </c>
    </row>
    <row r="8" spans="1:9" x14ac:dyDescent="0.3">
      <c r="A8" s="3" t="s">
        <v>15</v>
      </c>
      <c r="B8" s="4">
        <v>0.25</v>
      </c>
      <c r="C8" s="4">
        <v>0.25</v>
      </c>
      <c r="D8" s="4">
        <v>0.25</v>
      </c>
      <c r="E8" s="4">
        <v>0.25</v>
      </c>
      <c r="F8" s="5">
        <v>0.25</v>
      </c>
      <c r="G8" s="5">
        <v>0.25</v>
      </c>
      <c r="H8" s="5">
        <v>0.25</v>
      </c>
      <c r="I8" s="5">
        <v>0.25</v>
      </c>
    </row>
    <row r="10" spans="1:9" x14ac:dyDescent="0.3">
      <c r="A10" s="61" t="s">
        <v>16</v>
      </c>
      <c r="B10" s="60"/>
      <c r="C10" s="60"/>
      <c r="D10" s="60"/>
      <c r="E10" s="60"/>
      <c r="F10" s="60"/>
      <c r="G10" s="60"/>
      <c r="H10" s="60"/>
    </row>
    <row r="11" spans="1:9" x14ac:dyDescent="0.3">
      <c r="A11" s="3" t="s">
        <v>17</v>
      </c>
      <c r="B11" s="5">
        <v>0.14000000000000001</v>
      </c>
    </row>
    <row r="12" spans="1:9" x14ac:dyDescent="0.3">
      <c r="A12" s="3" t="s">
        <v>18</v>
      </c>
      <c r="B12" s="5">
        <v>7.0999999999999994E-2</v>
      </c>
    </row>
    <row r="13" spans="1:9" x14ac:dyDescent="0.3">
      <c r="A13" s="3" t="s">
        <v>19</v>
      </c>
      <c r="B13" s="5">
        <v>7.4999999999999997E-2</v>
      </c>
    </row>
    <row r="14" spans="1:9" x14ac:dyDescent="0.3">
      <c r="A14" s="3" t="s">
        <v>20</v>
      </c>
      <c r="B14" s="6">
        <v>1.1499999999999999</v>
      </c>
    </row>
    <row r="15" spans="1:9" x14ac:dyDescent="0.3">
      <c r="A15" s="3" t="s">
        <v>21</v>
      </c>
      <c r="B15" s="5">
        <v>0.05</v>
      </c>
    </row>
    <row r="16" spans="1:9" x14ac:dyDescent="0.3">
      <c r="A16" s="3" t="s">
        <v>22</v>
      </c>
      <c r="B16" s="7">
        <v>8138</v>
      </c>
    </row>
    <row r="17" spans="1:8" x14ac:dyDescent="0.3">
      <c r="A17" s="3" t="s">
        <v>23</v>
      </c>
      <c r="B17" s="8">
        <v>14.4</v>
      </c>
    </row>
    <row r="19" spans="1:8" x14ac:dyDescent="0.3">
      <c r="A19" s="61" t="s">
        <v>24</v>
      </c>
      <c r="B19" s="60"/>
      <c r="C19" s="60"/>
      <c r="D19" s="60"/>
      <c r="E19" s="60"/>
      <c r="F19" s="60"/>
      <c r="G19" s="60"/>
      <c r="H19" s="60"/>
    </row>
    <row r="20" spans="1:8" x14ac:dyDescent="0.3">
      <c r="A20" s="3" t="s">
        <v>25</v>
      </c>
      <c r="B20" s="9">
        <v>10</v>
      </c>
    </row>
    <row r="21" spans="1:8" x14ac:dyDescent="0.3">
      <c r="A21" s="3" t="s">
        <v>26</v>
      </c>
      <c r="B21" s="9">
        <v>12</v>
      </c>
    </row>
    <row r="22" spans="1:8" x14ac:dyDescent="0.3">
      <c r="A22" s="3" t="s">
        <v>27</v>
      </c>
      <c r="B22" s="5">
        <v>0.5</v>
      </c>
    </row>
    <row r="23" spans="1:8" x14ac:dyDescent="0.3">
      <c r="A23" s="3" t="s">
        <v>28</v>
      </c>
      <c r="B23" s="5">
        <v>0.7</v>
      </c>
    </row>
    <row r="24" spans="1:8" x14ac:dyDescent="0.3">
      <c r="A24" s="3" t="s">
        <v>29</v>
      </c>
      <c r="B24" s="5">
        <v>0.3</v>
      </c>
    </row>
    <row r="25" spans="1:8" x14ac:dyDescent="0.3">
      <c r="A25" s="3" t="s">
        <v>30</v>
      </c>
      <c r="B25" s="5">
        <v>0.09</v>
      </c>
    </row>
    <row r="26" spans="1:8" x14ac:dyDescent="0.3">
      <c r="A26" s="3" t="s">
        <v>31</v>
      </c>
      <c r="B26" s="5">
        <v>0.13</v>
      </c>
    </row>
    <row r="27" spans="1:8" x14ac:dyDescent="0.3">
      <c r="A27" s="3" t="s">
        <v>32</v>
      </c>
      <c r="B27" s="5">
        <v>0.05</v>
      </c>
    </row>
    <row r="28" spans="1:8" x14ac:dyDescent="0.3">
      <c r="A28" s="3" t="s">
        <v>33</v>
      </c>
      <c r="B28" s="10">
        <v>5</v>
      </c>
    </row>
  </sheetData>
  <mergeCells count="5">
    <mergeCell ref="A1:H1"/>
    <mergeCell ref="A3:H3"/>
    <mergeCell ref="A10:H10"/>
    <mergeCell ref="A19:H1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showGridLines="0" workbookViewId="0">
      <selection sqref="A1:H1"/>
    </sheetView>
  </sheetViews>
  <sheetFormatPr defaultRowHeight="14.4" x14ac:dyDescent="0.3"/>
  <cols>
    <col min="1" max="1" width="32" customWidth="1"/>
    <col min="2" max="8" width="13" customWidth="1"/>
  </cols>
  <sheetData>
    <row r="1" spans="1:9" ht="15.6" x14ac:dyDescent="0.3">
      <c r="A1" s="59" t="s">
        <v>34</v>
      </c>
      <c r="B1" s="60"/>
      <c r="C1" s="60"/>
      <c r="D1" s="60"/>
      <c r="E1" s="60"/>
      <c r="F1" s="60"/>
      <c r="G1" s="60"/>
      <c r="H1" s="60"/>
    </row>
    <row r="2" spans="1:9" x14ac:dyDescent="0.3">
      <c r="A2" s="1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61" t="s">
        <v>35</v>
      </c>
      <c r="B3" s="60"/>
      <c r="C3" s="60"/>
      <c r="D3" s="60"/>
      <c r="E3" s="60"/>
      <c r="F3" s="60"/>
      <c r="G3" s="60"/>
      <c r="H3" s="60"/>
    </row>
    <row r="4" spans="1:9" x14ac:dyDescent="0.3">
      <c r="A4" s="12" t="s">
        <v>36</v>
      </c>
      <c r="B4" s="13">
        <v>3818.9</v>
      </c>
      <c r="C4" s="13">
        <v>5174.3999999999996</v>
      </c>
      <c r="D4" s="13">
        <v>6441.8</v>
      </c>
      <c r="E4" s="13">
        <v>6441.8</v>
      </c>
      <c r="F4" s="13">
        <f>E4*(1+Assumptions!B4)</f>
        <v>6705.9137999999994</v>
      </c>
      <c r="G4" s="13">
        <f>F4*(1+Assumptions!B4)</f>
        <v>6980.8562657999992</v>
      </c>
      <c r="H4" s="13">
        <f>G4*(1+Assumptions!B4)</f>
        <v>7267.0713726977983</v>
      </c>
      <c r="I4" s="13">
        <f>H4*(1+Assumptions!B4)</f>
        <v>7565.0212989784077</v>
      </c>
    </row>
    <row r="5" spans="1:9" x14ac:dyDescent="0.3">
      <c r="A5" s="3" t="s">
        <v>37</v>
      </c>
      <c r="B5" s="14" t="s">
        <v>38</v>
      </c>
      <c r="C5" s="15">
        <v>2032.9</v>
      </c>
      <c r="D5" s="15">
        <v>2791.7</v>
      </c>
      <c r="E5" s="15">
        <v>3526.5</v>
      </c>
      <c r="F5" s="14" t="s">
        <v>38</v>
      </c>
      <c r="G5" s="14" t="s">
        <v>38</v>
      </c>
      <c r="H5" s="14" t="s">
        <v>38</v>
      </c>
      <c r="I5" s="14" t="s">
        <v>38</v>
      </c>
    </row>
    <row r="6" spans="1:9" x14ac:dyDescent="0.3">
      <c r="A6" s="12" t="s">
        <v>39</v>
      </c>
      <c r="B6" s="13">
        <v>1862.5</v>
      </c>
      <c r="C6" s="13">
        <v>4115</v>
      </c>
      <c r="D6" s="13">
        <v>4578.3</v>
      </c>
      <c r="E6" s="13">
        <v>4578.3</v>
      </c>
      <c r="F6" s="13">
        <f>F4*Assumptions!B6</f>
        <v>3869.3122625999995</v>
      </c>
      <c r="G6" s="13">
        <f>G4*Assumptions!B6</f>
        <v>4027.954065366599</v>
      </c>
      <c r="H6" s="13">
        <f>H4*Assumptions!B6</f>
        <v>4193.100182046629</v>
      </c>
      <c r="I6" s="13">
        <f>I4*Assumptions!B6</f>
        <v>4365.0172895105406</v>
      </c>
    </row>
    <row r="7" spans="1:9" x14ac:dyDescent="0.3">
      <c r="A7" s="3" t="s">
        <v>40</v>
      </c>
      <c r="B7" s="15">
        <v>1804.1</v>
      </c>
      <c r="C7" s="15">
        <v>4032.5</v>
      </c>
      <c r="D7" s="15">
        <v>4479.5</v>
      </c>
      <c r="E7" s="15">
        <v>4479.5</v>
      </c>
      <c r="F7" s="14" t="s">
        <v>38</v>
      </c>
      <c r="G7" s="14" t="s">
        <v>38</v>
      </c>
      <c r="H7" s="14" t="s">
        <v>38</v>
      </c>
      <c r="I7" s="14" t="s">
        <v>38</v>
      </c>
    </row>
    <row r="8" spans="1:9" x14ac:dyDescent="0.3">
      <c r="A8" s="12" t="s">
        <v>41</v>
      </c>
      <c r="B8" s="13">
        <v>931.1</v>
      </c>
      <c r="C8" s="13">
        <v>2441.1</v>
      </c>
      <c r="D8" s="13">
        <v>2501.6</v>
      </c>
      <c r="E8" s="13">
        <v>2501.6</v>
      </c>
      <c r="F8" s="13">
        <f>F6*Assumptions!B7</f>
        <v>1381.3444777481998</v>
      </c>
      <c r="G8" s="13">
        <f>G6*Assumptions!B7</f>
        <v>1437.9796013358757</v>
      </c>
      <c r="H8" s="13">
        <f>H6*Assumptions!B7</f>
        <v>1496.9367649906465</v>
      </c>
      <c r="I8" s="13">
        <f>I6*Assumptions!B7</f>
        <v>1558.3111723552629</v>
      </c>
    </row>
    <row r="10" spans="1:9" x14ac:dyDescent="0.3">
      <c r="A10" s="61" t="s">
        <v>42</v>
      </c>
      <c r="B10" s="60"/>
      <c r="C10" s="60"/>
      <c r="D10" s="60"/>
      <c r="E10" s="60"/>
      <c r="F10" s="60"/>
      <c r="G10" s="60"/>
      <c r="H10" s="60"/>
    </row>
    <row r="11" spans="1:9" x14ac:dyDescent="0.3">
      <c r="A11" s="12" t="s">
        <v>43</v>
      </c>
      <c r="B11" s="13">
        <v>23009.9</v>
      </c>
      <c r="C11" s="13">
        <v>31829.200000000001</v>
      </c>
      <c r="D11" s="13">
        <v>33987.1</v>
      </c>
      <c r="E11" s="13">
        <v>33987.1</v>
      </c>
      <c r="F11" s="14" t="s">
        <v>38</v>
      </c>
      <c r="G11" s="14" t="s">
        <v>38</v>
      </c>
      <c r="H11" s="14" t="s">
        <v>38</v>
      </c>
      <c r="I11" s="14" t="s">
        <v>38</v>
      </c>
    </row>
    <row r="12" spans="1:9" x14ac:dyDescent="0.3">
      <c r="A12" s="3" t="s">
        <v>44</v>
      </c>
      <c r="B12" s="15">
        <v>2576.3000000000002</v>
      </c>
      <c r="C12" s="15">
        <v>5285.7</v>
      </c>
      <c r="D12" s="15">
        <v>6592.5</v>
      </c>
      <c r="E12" s="15">
        <v>6592.5</v>
      </c>
      <c r="F12" s="14" t="s">
        <v>38</v>
      </c>
      <c r="G12" s="14" t="s">
        <v>38</v>
      </c>
      <c r="H12" s="14" t="s">
        <v>38</v>
      </c>
      <c r="I12" s="14" t="s">
        <v>38</v>
      </c>
    </row>
    <row r="13" spans="1:9" x14ac:dyDescent="0.3">
      <c r="A13" s="3" t="s">
        <v>45</v>
      </c>
      <c r="B13" s="15">
        <v>10275.9</v>
      </c>
      <c r="C13" s="15">
        <v>13745.6</v>
      </c>
      <c r="D13" s="15">
        <v>14731.6</v>
      </c>
      <c r="E13" s="15">
        <v>14731.6</v>
      </c>
      <c r="F13" s="14" t="s">
        <v>38</v>
      </c>
      <c r="G13" s="14" t="s">
        <v>38</v>
      </c>
      <c r="H13" s="14" t="s">
        <v>38</v>
      </c>
      <c r="I13" s="14" t="s">
        <v>38</v>
      </c>
    </row>
    <row r="14" spans="1:9" x14ac:dyDescent="0.3">
      <c r="A14" s="12" t="s">
        <v>46</v>
      </c>
      <c r="B14" s="13">
        <v>6252.2</v>
      </c>
      <c r="C14" s="13">
        <v>8731.7999999999993</v>
      </c>
      <c r="D14" s="13">
        <v>11079.3</v>
      </c>
      <c r="E14" s="13">
        <v>11079.3</v>
      </c>
      <c r="F14" s="14" t="s">
        <v>38</v>
      </c>
      <c r="G14" s="14" t="s">
        <v>38</v>
      </c>
      <c r="H14" s="14" t="s">
        <v>38</v>
      </c>
      <c r="I14" s="14" t="s">
        <v>38</v>
      </c>
    </row>
    <row r="16" spans="1:9" x14ac:dyDescent="0.3">
      <c r="A16" s="61" t="s">
        <v>47</v>
      </c>
      <c r="B16" s="60"/>
      <c r="C16" s="60"/>
      <c r="D16" s="60"/>
      <c r="E16" s="60"/>
      <c r="F16" s="60"/>
      <c r="G16" s="60"/>
      <c r="H16" s="60"/>
    </row>
    <row r="17" spans="1:9" x14ac:dyDescent="0.3">
      <c r="A17" s="12" t="s">
        <v>48</v>
      </c>
      <c r="B17" s="13">
        <v>-3057.9</v>
      </c>
      <c r="C17" s="13">
        <v>-349.6</v>
      </c>
      <c r="D17" s="13">
        <v>1214.5999999999999</v>
      </c>
      <c r="E17" s="13">
        <v>1214.5999999999999</v>
      </c>
      <c r="F17" s="14" t="s">
        <v>38</v>
      </c>
      <c r="G17" s="14" t="s">
        <v>38</v>
      </c>
      <c r="H17" s="14" t="s">
        <v>38</v>
      </c>
      <c r="I17" s="14" t="s">
        <v>38</v>
      </c>
    </row>
    <row r="18" spans="1:9" x14ac:dyDescent="0.3">
      <c r="A18" s="3" t="s">
        <v>49</v>
      </c>
      <c r="B18" s="15">
        <v>-153.80000000000001</v>
      </c>
      <c r="C18" s="15">
        <v>-150.80000000000001</v>
      </c>
      <c r="D18" s="15">
        <v>-284.3</v>
      </c>
      <c r="E18" s="15">
        <v>-284.3</v>
      </c>
      <c r="F18" s="14" t="s">
        <v>38</v>
      </c>
      <c r="G18" s="14" t="s">
        <v>38</v>
      </c>
      <c r="H18" s="14" t="s">
        <v>38</v>
      </c>
      <c r="I18" s="14" t="s">
        <v>38</v>
      </c>
    </row>
    <row r="19" spans="1:9" x14ac:dyDescent="0.3">
      <c r="A19" s="12" t="s">
        <v>50</v>
      </c>
      <c r="B19" s="13">
        <v>-3211.7</v>
      </c>
      <c r="C19" s="13">
        <v>-500.4</v>
      </c>
      <c r="D19" s="13">
        <v>930.4</v>
      </c>
      <c r="E19" s="13">
        <v>930.4</v>
      </c>
      <c r="F19" s="14" t="s">
        <v>38</v>
      </c>
      <c r="G19" s="14" t="s">
        <v>38</v>
      </c>
      <c r="H19" s="14" t="s">
        <v>38</v>
      </c>
      <c r="I19" s="14" t="s">
        <v>38</v>
      </c>
    </row>
    <row r="20" spans="1:9" x14ac:dyDescent="0.3">
      <c r="A20" s="3" t="s">
        <v>51</v>
      </c>
      <c r="B20" s="15">
        <v>3770.4</v>
      </c>
      <c r="C20" s="15">
        <v>3305.8</v>
      </c>
      <c r="D20" s="15">
        <v>745.1</v>
      </c>
      <c r="E20" s="15">
        <v>745.1</v>
      </c>
      <c r="F20" s="14" t="s">
        <v>38</v>
      </c>
      <c r="G20" s="14" t="s">
        <v>38</v>
      </c>
      <c r="H20" s="14" t="s">
        <v>38</v>
      </c>
      <c r="I20" s="14" t="s">
        <v>38</v>
      </c>
    </row>
  </sheetData>
  <mergeCells count="4">
    <mergeCell ref="A3:H3"/>
    <mergeCell ref="A16:H16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showGridLines="0" workbookViewId="0">
      <selection sqref="A1:F1"/>
    </sheetView>
  </sheetViews>
  <sheetFormatPr defaultRowHeight="14.4" x14ac:dyDescent="0.3"/>
  <cols>
    <col min="1" max="1" width="35" customWidth="1"/>
    <col min="2" max="6" width="14" customWidth="1"/>
  </cols>
  <sheetData>
    <row r="1" spans="1:6" ht="15.6" x14ac:dyDescent="0.3">
      <c r="A1" s="59" t="s">
        <v>52</v>
      </c>
      <c r="B1" s="60"/>
      <c r="C1" s="60"/>
      <c r="D1" s="60"/>
      <c r="E1" s="60"/>
      <c r="F1" s="60"/>
    </row>
    <row r="2" spans="1:6" x14ac:dyDescent="0.3">
      <c r="A2" s="11"/>
      <c r="B2" s="2" t="s">
        <v>6</v>
      </c>
      <c r="C2" s="2" t="s">
        <v>7</v>
      </c>
      <c r="D2" s="2" t="s">
        <v>8</v>
      </c>
    </row>
    <row r="3" spans="1:6" x14ac:dyDescent="0.3">
      <c r="A3" s="61" t="s">
        <v>53</v>
      </c>
      <c r="B3" s="60"/>
      <c r="C3" s="60"/>
      <c r="D3" s="60"/>
      <c r="E3" s="60"/>
      <c r="F3" s="60"/>
    </row>
    <row r="4" spans="1:6" x14ac:dyDescent="0.3">
      <c r="A4" s="12" t="s">
        <v>54</v>
      </c>
      <c r="B4" s="16">
        <f>'3-Statement'!F6</f>
        <v>3869.3122625999995</v>
      </c>
      <c r="C4" s="16">
        <f>'3-Statement'!G6</f>
        <v>4027.954065366599</v>
      </c>
      <c r="D4" s="16">
        <f>'3-Statement'!H6</f>
        <v>4193.100182046629</v>
      </c>
    </row>
    <row r="5" spans="1:6" x14ac:dyDescent="0.3">
      <c r="A5" s="3" t="s">
        <v>55</v>
      </c>
      <c r="B5" s="15">
        <f>-B4*Assumptions!B8</f>
        <v>-967.32806564999987</v>
      </c>
      <c r="C5" s="15">
        <f>-C4*Assumptions!B8</f>
        <v>-1006.9885163416498</v>
      </c>
      <c r="D5" s="15">
        <f>-D4*Assumptions!B8</f>
        <v>-1048.2750455116573</v>
      </c>
    </row>
    <row r="6" spans="1:6" x14ac:dyDescent="0.3">
      <c r="A6" s="12" t="s">
        <v>56</v>
      </c>
      <c r="B6" s="13">
        <f>B4+B5</f>
        <v>2901.9841969499994</v>
      </c>
      <c r="C6" s="13">
        <f>C4+C5</f>
        <v>3020.9655490249493</v>
      </c>
      <c r="D6" s="13">
        <f>D4+D5</f>
        <v>3144.8251365349715</v>
      </c>
    </row>
    <row r="7" spans="1:6" x14ac:dyDescent="0.3">
      <c r="A7" s="3" t="s">
        <v>57</v>
      </c>
      <c r="B7" s="15">
        <f>'3-Statement'!F4*0.02</f>
        <v>134.11827599999998</v>
      </c>
      <c r="C7" s="15">
        <f>'3-Statement'!G4*0.02</f>
        <v>139.617125316</v>
      </c>
      <c r="D7" s="15">
        <f>'3-Statement'!H4*0.02</f>
        <v>145.34142745395596</v>
      </c>
    </row>
    <row r="8" spans="1:6" x14ac:dyDescent="0.3">
      <c r="A8" s="3" t="s">
        <v>58</v>
      </c>
      <c r="B8" s="15">
        <f>-'3-Statement'!F4*0.02</f>
        <v>-134.11827599999998</v>
      </c>
      <c r="C8" s="15">
        <f>-'3-Statement'!G4*0.02</f>
        <v>-139.617125316</v>
      </c>
      <c r="D8" s="15">
        <f>-'3-Statement'!H4*0.02</f>
        <v>-145.34142745395596</v>
      </c>
    </row>
    <row r="9" spans="1:6" x14ac:dyDescent="0.3">
      <c r="A9" s="3" t="s">
        <v>59</v>
      </c>
      <c r="B9" s="15">
        <f>-'3-Statement'!F4*0.03</f>
        <v>-201.17741399999997</v>
      </c>
      <c r="C9" s="15">
        <f>-'3-Statement'!G4*0.03</f>
        <v>-209.42568797399997</v>
      </c>
      <c r="D9" s="15">
        <f>-'3-Statement'!H4*0.03</f>
        <v>-218.01214118093395</v>
      </c>
    </row>
    <row r="10" spans="1:6" x14ac:dyDescent="0.3">
      <c r="A10" s="12" t="s">
        <v>60</v>
      </c>
      <c r="B10" s="13">
        <f>B6+B7+B8+B9</f>
        <v>2700.8067829499996</v>
      </c>
      <c r="C10" s="13">
        <f>C6+C7+C8+C9</f>
        <v>2811.5398610509492</v>
      </c>
      <c r="D10" s="13">
        <f>D6+D7+D8+D9</f>
        <v>2926.8129953540374</v>
      </c>
    </row>
    <row r="12" spans="1:6" x14ac:dyDescent="0.3">
      <c r="A12" s="61" t="s">
        <v>61</v>
      </c>
      <c r="B12" s="60"/>
      <c r="C12" s="60"/>
      <c r="D12" s="60"/>
      <c r="E12" s="60"/>
      <c r="F12" s="60"/>
    </row>
    <row r="13" spans="1:6" x14ac:dyDescent="0.3">
      <c r="A13" s="3" t="s">
        <v>62</v>
      </c>
      <c r="B13" s="17">
        <v>0.5</v>
      </c>
      <c r="C13" s="17">
        <v>1.5</v>
      </c>
      <c r="D13" s="17">
        <v>2.5</v>
      </c>
    </row>
    <row r="14" spans="1:6" x14ac:dyDescent="0.3">
      <c r="A14" s="3" t="s">
        <v>63</v>
      </c>
      <c r="B14" s="18">
        <f>1/(1+Assumptions!B11)^B13</f>
        <v>0.93658581158169396</v>
      </c>
      <c r="C14" s="18">
        <f>1/(1+Assumptions!B11)^C13</f>
        <v>0.82156650138745069</v>
      </c>
      <c r="D14" s="18">
        <f>1/(1+Assumptions!B11)^D13</f>
        <v>0.72067236963811454</v>
      </c>
    </row>
    <row r="15" spans="1:6" x14ac:dyDescent="0.3">
      <c r="A15" s="12" t="s">
        <v>64</v>
      </c>
      <c r="B15" s="13">
        <f>B10*B14</f>
        <v>2529.5373127345692</v>
      </c>
      <c r="C15" s="13">
        <f>C10*C14</f>
        <v>2309.8669671549874</v>
      </c>
      <c r="D15" s="13">
        <f>D10*D14</f>
        <v>2109.2732568494221</v>
      </c>
    </row>
    <row r="17" spans="1:6" x14ac:dyDescent="0.3">
      <c r="A17" s="61" t="s">
        <v>65</v>
      </c>
      <c r="B17" s="60"/>
      <c r="C17" s="60"/>
      <c r="D17" s="60"/>
      <c r="E17" s="60"/>
      <c r="F17" s="60"/>
    </row>
    <row r="18" spans="1:6" x14ac:dyDescent="0.3">
      <c r="A18" s="12" t="s">
        <v>66</v>
      </c>
      <c r="B18" s="13">
        <f>D10</f>
        <v>2926.8129953540374</v>
      </c>
    </row>
    <row r="19" spans="1:6" x14ac:dyDescent="0.3">
      <c r="A19" s="3" t="s">
        <v>67</v>
      </c>
      <c r="B19" s="19">
        <f>Assumptions!B15</f>
        <v>0.05</v>
      </c>
    </row>
    <row r="20" spans="1:6" x14ac:dyDescent="0.3">
      <c r="A20" s="3" t="s">
        <v>68</v>
      </c>
      <c r="B20" s="19">
        <f>Assumptions!B11</f>
        <v>0.14000000000000001</v>
      </c>
    </row>
    <row r="21" spans="1:6" x14ac:dyDescent="0.3">
      <c r="A21" s="12" t="s">
        <v>69</v>
      </c>
      <c r="B21" s="13">
        <f>B18*(1+B19)/(B20-B19)</f>
        <v>34146.151612463764</v>
      </c>
    </row>
    <row r="22" spans="1:6" x14ac:dyDescent="0.3">
      <c r="A22" s="12" t="s">
        <v>70</v>
      </c>
      <c r="B22" s="13">
        <f>B21/(1+Assumptions!B11)^2.5</f>
        <v>24608.187996576587</v>
      </c>
    </row>
    <row r="24" spans="1:6" x14ac:dyDescent="0.3">
      <c r="A24" s="61" t="s">
        <v>71</v>
      </c>
      <c r="B24" s="60"/>
      <c r="C24" s="60"/>
      <c r="D24" s="60"/>
      <c r="E24" s="60"/>
      <c r="F24" s="60"/>
    </row>
    <row r="25" spans="1:6" x14ac:dyDescent="0.3">
      <c r="A25" s="12" t="s">
        <v>72</v>
      </c>
      <c r="B25" s="20">
        <f>SUM(B15:D15)</f>
        <v>6948.6775367389791</v>
      </c>
    </row>
    <row r="26" spans="1:6" x14ac:dyDescent="0.3">
      <c r="A26" s="3" t="s">
        <v>73</v>
      </c>
      <c r="B26" s="21">
        <f>B22</f>
        <v>24608.187996576587</v>
      </c>
    </row>
    <row r="27" spans="1:6" x14ac:dyDescent="0.3">
      <c r="A27" s="12" t="s">
        <v>74</v>
      </c>
      <c r="B27" s="20">
        <f>B25+B26</f>
        <v>31556.865533315566</v>
      </c>
    </row>
    <row r="28" spans="1:6" x14ac:dyDescent="0.3">
      <c r="A28" s="3" t="s">
        <v>75</v>
      </c>
      <c r="B28" s="21">
        <f>Assumptions!B16</f>
        <v>8138</v>
      </c>
    </row>
    <row r="29" spans="1:6" x14ac:dyDescent="0.3">
      <c r="A29" s="12" t="s">
        <v>76</v>
      </c>
      <c r="B29" s="20">
        <f>B27-B28</f>
        <v>23418.865533315566</v>
      </c>
    </row>
    <row r="30" spans="1:6" x14ac:dyDescent="0.3">
      <c r="A30" s="3" t="s">
        <v>23</v>
      </c>
      <c r="B30" s="21">
        <f>Assumptions!B17</f>
        <v>14.4</v>
      </c>
    </row>
    <row r="31" spans="1:6" x14ac:dyDescent="0.3">
      <c r="A31" s="12" t="s">
        <v>77</v>
      </c>
      <c r="B31" s="22">
        <f>B29/B30</f>
        <v>1626.3101064802477</v>
      </c>
    </row>
    <row r="33" spans="1:6" x14ac:dyDescent="0.3">
      <c r="A33" s="61" t="s">
        <v>78</v>
      </c>
      <c r="B33" s="60"/>
      <c r="C33" s="60"/>
      <c r="D33" s="60"/>
      <c r="E33" s="60"/>
      <c r="F33" s="60"/>
    </row>
    <row r="34" spans="1:6" x14ac:dyDescent="0.3">
      <c r="A34" s="23" t="s">
        <v>79</v>
      </c>
      <c r="B34" s="24">
        <v>0.03</v>
      </c>
      <c r="C34" s="24">
        <v>0.04</v>
      </c>
      <c r="D34" s="24">
        <v>0.05</v>
      </c>
      <c r="E34" s="24">
        <v>0.06</v>
      </c>
      <c r="F34" s="24">
        <v>7.0000000000000007E-2</v>
      </c>
    </row>
    <row r="35" spans="1:6" x14ac:dyDescent="0.3">
      <c r="A35" s="24">
        <v>0.12</v>
      </c>
      <c r="B35" s="25">
        <v>153891</v>
      </c>
      <c r="C35" s="25">
        <v>176676</v>
      </c>
      <c r="D35" s="25">
        <v>205970</v>
      </c>
      <c r="E35" s="25">
        <v>245029</v>
      </c>
      <c r="F35" s="25">
        <v>299711</v>
      </c>
    </row>
    <row r="36" spans="1:6" x14ac:dyDescent="0.3">
      <c r="A36" s="24">
        <v>0.13</v>
      </c>
      <c r="B36" s="25">
        <v>133813</v>
      </c>
      <c r="C36" s="25">
        <v>151799</v>
      </c>
      <c r="D36" s="25">
        <v>174282</v>
      </c>
      <c r="E36" s="25">
        <v>203188</v>
      </c>
      <c r="F36" s="25">
        <v>241729</v>
      </c>
    </row>
    <row r="37" spans="1:6" x14ac:dyDescent="0.3">
      <c r="A37" s="24">
        <v>0.14000000000000001</v>
      </c>
      <c r="B37" s="25">
        <v>117477</v>
      </c>
      <c r="C37" s="25">
        <v>132000</v>
      </c>
      <c r="D37" s="26">
        <v>149750</v>
      </c>
      <c r="E37" s="25">
        <v>171937</v>
      </c>
      <c r="F37" s="25">
        <v>200464</v>
      </c>
    </row>
    <row r="38" spans="1:6" x14ac:dyDescent="0.3">
      <c r="A38" s="24">
        <v>0.15</v>
      </c>
      <c r="B38" s="25">
        <v>103945</v>
      </c>
      <c r="C38" s="25">
        <v>115890</v>
      </c>
      <c r="D38" s="25">
        <v>130223</v>
      </c>
      <c r="E38" s="25">
        <v>147742</v>
      </c>
      <c r="F38" s="25">
        <v>169641</v>
      </c>
    </row>
    <row r="39" spans="1:6" x14ac:dyDescent="0.3">
      <c r="A39" s="24">
        <v>0.16</v>
      </c>
      <c r="B39" s="25">
        <v>92567</v>
      </c>
      <c r="C39" s="25">
        <v>102543</v>
      </c>
      <c r="D39" s="25">
        <v>114334</v>
      </c>
      <c r="E39" s="25">
        <v>128482</v>
      </c>
      <c r="F39" s="25">
        <v>145775</v>
      </c>
    </row>
  </sheetData>
  <mergeCells count="6">
    <mergeCell ref="A24:F24"/>
    <mergeCell ref="A33:F33"/>
    <mergeCell ref="A1:F1"/>
    <mergeCell ref="A17:F17"/>
    <mergeCell ref="A12:F12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showGridLines="0" workbookViewId="0">
      <selection sqref="A1:G1"/>
    </sheetView>
  </sheetViews>
  <sheetFormatPr defaultRowHeight="14.4" x14ac:dyDescent="0.3"/>
  <cols>
    <col min="1" max="1" width="35" customWidth="1"/>
    <col min="2" max="7" width="14" customWidth="1"/>
  </cols>
  <sheetData>
    <row r="1" spans="1:7" ht="15.6" x14ac:dyDescent="0.3">
      <c r="A1" s="59" t="s">
        <v>80</v>
      </c>
      <c r="B1" s="60"/>
      <c r="C1" s="60"/>
      <c r="D1" s="60"/>
      <c r="E1" s="60"/>
      <c r="F1" s="60"/>
      <c r="G1" s="60"/>
    </row>
    <row r="3" spans="1:7" x14ac:dyDescent="0.3">
      <c r="A3" s="61" t="s">
        <v>81</v>
      </c>
      <c r="B3" s="60"/>
      <c r="C3" s="60"/>
      <c r="D3" s="60"/>
      <c r="E3" s="60"/>
      <c r="F3" s="60"/>
      <c r="G3" s="60"/>
    </row>
    <row r="4" spans="1:7" x14ac:dyDescent="0.3">
      <c r="A4" s="3" t="s">
        <v>82</v>
      </c>
      <c r="B4" s="8">
        <v>3869</v>
      </c>
    </row>
    <row r="5" spans="1:7" x14ac:dyDescent="0.3">
      <c r="A5" s="3" t="s">
        <v>25</v>
      </c>
      <c r="B5" s="9">
        <v>10</v>
      </c>
    </row>
    <row r="6" spans="1:7" x14ac:dyDescent="0.3">
      <c r="A6" s="3" t="s">
        <v>83</v>
      </c>
      <c r="B6" s="27">
        <f>B4*B5</f>
        <v>38690</v>
      </c>
    </row>
    <row r="7" spans="1:7" x14ac:dyDescent="0.3">
      <c r="A7" s="3" t="s">
        <v>84</v>
      </c>
      <c r="B7" s="27">
        <f>B6*0.5</f>
        <v>19345</v>
      </c>
    </row>
    <row r="8" spans="1:7" x14ac:dyDescent="0.3">
      <c r="A8" s="3" t="s">
        <v>85</v>
      </c>
      <c r="B8" s="27">
        <f>B6*0.5</f>
        <v>19345</v>
      </c>
    </row>
    <row r="9" spans="1:7" x14ac:dyDescent="0.3">
      <c r="A9" s="3" t="s">
        <v>86</v>
      </c>
      <c r="B9" s="27">
        <f>B8*0.7</f>
        <v>13541.5</v>
      </c>
    </row>
    <row r="10" spans="1:7" x14ac:dyDescent="0.3">
      <c r="A10" s="3" t="s">
        <v>87</v>
      </c>
      <c r="B10" s="27">
        <f>B8*0.3</f>
        <v>5803.5</v>
      </c>
    </row>
    <row r="11" spans="1:7" x14ac:dyDescent="0.3">
      <c r="A11" s="3" t="s">
        <v>30</v>
      </c>
      <c r="B11" s="5">
        <v>0.09</v>
      </c>
    </row>
    <row r="12" spans="1:7" x14ac:dyDescent="0.3">
      <c r="A12" s="3" t="s">
        <v>31</v>
      </c>
      <c r="B12" s="5">
        <v>0.13</v>
      </c>
    </row>
    <row r="13" spans="1:7" x14ac:dyDescent="0.3">
      <c r="A13" s="3" t="s">
        <v>32</v>
      </c>
      <c r="B13" s="5">
        <v>0.05</v>
      </c>
    </row>
    <row r="15" spans="1:7" x14ac:dyDescent="0.3">
      <c r="A15" s="61" t="s">
        <v>88</v>
      </c>
      <c r="B15" s="60"/>
      <c r="C15" s="60"/>
      <c r="D15" s="60"/>
      <c r="E15" s="60"/>
      <c r="F15" s="60"/>
      <c r="G15" s="60"/>
    </row>
    <row r="16" spans="1:7" x14ac:dyDescent="0.3">
      <c r="A16" s="11"/>
      <c r="B16" s="2" t="s">
        <v>6</v>
      </c>
      <c r="C16" s="2" t="s">
        <v>7</v>
      </c>
      <c r="D16" s="2" t="s">
        <v>8</v>
      </c>
      <c r="E16" s="2" t="s">
        <v>9</v>
      </c>
      <c r="F16" s="2" t="s">
        <v>89</v>
      </c>
    </row>
    <row r="17" spans="1:7" x14ac:dyDescent="0.3">
      <c r="A17" s="12" t="s">
        <v>90</v>
      </c>
      <c r="B17" s="13">
        <f>'3-Statement'!F4</f>
        <v>6705.9137999999994</v>
      </c>
      <c r="C17" s="13">
        <f>'3-Statement'!G4</f>
        <v>6980.8562657999992</v>
      </c>
      <c r="D17" s="13">
        <f>'3-Statement'!H4</f>
        <v>7267.0713726977983</v>
      </c>
      <c r="E17" s="13" t="str">
        <f ca="1">E17*1.1</f>
        <v/>
      </c>
      <c r="F17" s="13" t="str">
        <f ca="1">F17*1.1</f>
        <v/>
      </c>
    </row>
    <row r="18" spans="1:7" x14ac:dyDescent="0.3">
      <c r="A18" s="12" t="s">
        <v>91</v>
      </c>
      <c r="B18" s="13">
        <f>'3-Statement'!F6</f>
        <v>3869.3122625999995</v>
      </c>
      <c r="C18" s="13">
        <f>'3-Statement'!G6</f>
        <v>4027.954065366599</v>
      </c>
      <c r="D18" s="13">
        <f>'3-Statement'!H6</f>
        <v>4193.100182046629</v>
      </c>
      <c r="E18" s="13" t="str">
        <f ca="1">E18*1.1</f>
        <v/>
      </c>
      <c r="F18" s="13" t="str">
        <f ca="1">F18*1.1</f>
        <v/>
      </c>
    </row>
    <row r="19" spans="1:7" x14ac:dyDescent="0.3">
      <c r="A19" s="3" t="s">
        <v>13</v>
      </c>
      <c r="B19" s="4">
        <f>B18/B17</f>
        <v>0.57699999999999996</v>
      </c>
      <c r="C19" s="4">
        <f>C18/C17</f>
        <v>0.57699999999999996</v>
      </c>
      <c r="D19" s="4">
        <f>D18/D17</f>
        <v>0.57699999999999996</v>
      </c>
      <c r="E19" s="4" t="str">
        <f ca="1">E18/E17</f>
        <v/>
      </c>
      <c r="F19" s="4" t="str">
        <f ca="1">F18/F17</f>
        <v/>
      </c>
    </row>
    <row r="21" spans="1:7" x14ac:dyDescent="0.3">
      <c r="A21" s="61" t="s">
        <v>92</v>
      </c>
      <c r="B21" s="60"/>
      <c r="C21" s="60"/>
      <c r="D21" s="60"/>
      <c r="E21" s="60"/>
      <c r="F21" s="60"/>
      <c r="G21" s="60"/>
    </row>
    <row r="22" spans="1:7" x14ac:dyDescent="0.3">
      <c r="A22" s="11"/>
      <c r="B22" s="2" t="s">
        <v>6</v>
      </c>
      <c r="C22" s="2" t="s">
        <v>7</v>
      </c>
      <c r="D22" s="2" t="s">
        <v>8</v>
      </c>
      <c r="E22" s="2" t="s">
        <v>9</v>
      </c>
      <c r="F22" s="2" t="s">
        <v>89</v>
      </c>
    </row>
    <row r="23" spans="1:7" x14ac:dyDescent="0.3">
      <c r="A23" s="12" t="s">
        <v>93</v>
      </c>
      <c r="B23" s="16">
        <f>B8</f>
        <v>19345</v>
      </c>
      <c r="C23" s="13">
        <f>B25</f>
        <v>18377.75</v>
      </c>
      <c r="D23" s="13">
        <f>C25</f>
        <v>17458.862499999999</v>
      </c>
      <c r="E23" s="13">
        <f>D25</f>
        <v>16585.919374999998</v>
      </c>
      <c r="F23" s="13">
        <f>E25</f>
        <v>15756.623406249997</v>
      </c>
    </row>
    <row r="24" spans="1:7" x14ac:dyDescent="0.3">
      <c r="A24" s="3" t="s">
        <v>94</v>
      </c>
      <c r="B24" s="15">
        <f>-B23*B13</f>
        <v>-967.25</v>
      </c>
      <c r="C24" s="15">
        <f>-C23*B13</f>
        <v>-918.88750000000005</v>
      </c>
      <c r="D24" s="15">
        <f>-D23*B13</f>
        <v>-872.94312500000001</v>
      </c>
      <c r="E24" s="15">
        <f>-E23*B13</f>
        <v>-829.29596874999993</v>
      </c>
      <c r="F24" s="15">
        <f>-F23*B13</f>
        <v>-787.83117031249992</v>
      </c>
    </row>
    <row r="25" spans="1:7" x14ac:dyDescent="0.3">
      <c r="A25" s="12" t="s">
        <v>95</v>
      </c>
      <c r="B25" s="13">
        <f>B23+B24</f>
        <v>18377.75</v>
      </c>
      <c r="C25" s="13">
        <f>C23+C24</f>
        <v>17458.862499999999</v>
      </c>
      <c r="D25" s="13">
        <f>D23+D24</f>
        <v>16585.919374999998</v>
      </c>
      <c r="E25" s="13">
        <f>E23+E24</f>
        <v>15756.623406249997</v>
      </c>
      <c r="F25" s="13">
        <f>F23+F24</f>
        <v>14968.792235937497</v>
      </c>
    </row>
    <row r="26" spans="1:7" x14ac:dyDescent="0.3">
      <c r="A26" s="3" t="s">
        <v>96</v>
      </c>
      <c r="B26" s="15">
        <f>-B23*0.7*B11</f>
        <v>-1218.7349999999999</v>
      </c>
      <c r="C26" s="15">
        <f>-C23*0.7*B11</f>
        <v>-1157.7982499999998</v>
      </c>
      <c r="D26" s="15">
        <f>-D23*0.7*B11</f>
        <v>-1099.9083374999998</v>
      </c>
      <c r="E26" s="15">
        <f>-E23*0.7*B11</f>
        <v>-1044.9129206249997</v>
      </c>
      <c r="F26" s="15">
        <f>-F23*0.7*B11</f>
        <v>-992.66727459374965</v>
      </c>
    </row>
    <row r="27" spans="1:7" x14ac:dyDescent="0.3">
      <c r="A27" s="3" t="s">
        <v>97</v>
      </c>
      <c r="B27" s="15">
        <f>-B23*0.3*B12</f>
        <v>-754.45500000000004</v>
      </c>
      <c r="C27" s="15">
        <f>-C23*0.3*B12</f>
        <v>-716.73225000000002</v>
      </c>
      <c r="D27" s="15">
        <f>-D23*0.3*B12</f>
        <v>-680.89563750000002</v>
      </c>
      <c r="E27" s="15">
        <f>-E23*0.3*B12</f>
        <v>-646.85085562499989</v>
      </c>
      <c r="F27" s="15">
        <f>-F23*0.3*B12</f>
        <v>-614.50831284374988</v>
      </c>
    </row>
    <row r="28" spans="1:7" x14ac:dyDescent="0.3">
      <c r="A28" s="12" t="s">
        <v>98</v>
      </c>
      <c r="B28" s="13">
        <f>B26+B27</f>
        <v>-1973.19</v>
      </c>
      <c r="C28" s="13">
        <f>C26+C27</f>
        <v>-1874.5304999999998</v>
      </c>
      <c r="D28" s="13">
        <f>D26+D27</f>
        <v>-1780.8039749999998</v>
      </c>
      <c r="E28" s="13">
        <f>E26+E27</f>
        <v>-1691.7637762499996</v>
      </c>
      <c r="F28" s="13">
        <f>F26+F27</f>
        <v>-1607.1755874374994</v>
      </c>
    </row>
    <row r="30" spans="1:7" x14ac:dyDescent="0.3">
      <c r="A30" s="61" t="s">
        <v>99</v>
      </c>
      <c r="B30" s="60"/>
      <c r="C30" s="60"/>
      <c r="D30" s="60"/>
      <c r="E30" s="60"/>
      <c r="F30" s="60"/>
      <c r="G30" s="60"/>
    </row>
    <row r="31" spans="1:7" x14ac:dyDescent="0.3">
      <c r="A31" s="11"/>
      <c r="B31" s="2" t="s">
        <v>6</v>
      </c>
      <c r="C31" s="2" t="s">
        <v>7</v>
      </c>
      <c r="D31" s="2" t="s">
        <v>8</v>
      </c>
      <c r="E31" s="2" t="s">
        <v>9</v>
      </c>
      <c r="F31" s="2" t="s">
        <v>89</v>
      </c>
    </row>
    <row r="32" spans="1:7" x14ac:dyDescent="0.3">
      <c r="A32" s="12" t="s">
        <v>100</v>
      </c>
      <c r="B32" s="13">
        <f>B18</f>
        <v>3869.3122625999995</v>
      </c>
      <c r="C32" s="13">
        <f>C18</f>
        <v>4027.954065366599</v>
      </c>
      <c r="D32" s="13">
        <f>D18</f>
        <v>4193.100182046629</v>
      </c>
      <c r="E32" s="13" t="str">
        <f ca="1">E18</f>
        <v/>
      </c>
      <c r="F32" s="13" t="str">
        <f ca="1">F18</f>
        <v/>
      </c>
    </row>
    <row r="33" spans="1:7" x14ac:dyDescent="0.3">
      <c r="A33" s="3" t="s">
        <v>101</v>
      </c>
      <c r="B33" s="15">
        <f>B28</f>
        <v>-1973.19</v>
      </c>
      <c r="C33" s="15">
        <f>C28</f>
        <v>-1874.5304999999998</v>
      </c>
      <c r="D33" s="15">
        <f>D28</f>
        <v>-1780.8039749999998</v>
      </c>
      <c r="E33" s="15">
        <f>E28</f>
        <v>-1691.7637762499996</v>
      </c>
      <c r="F33" s="15">
        <f>F28</f>
        <v>-1607.1755874374994</v>
      </c>
    </row>
    <row r="34" spans="1:7" x14ac:dyDescent="0.3">
      <c r="A34" s="3" t="s">
        <v>102</v>
      </c>
      <c r="B34" s="15">
        <f>-(B32+B33)*0.25</f>
        <v>-474.03056564999986</v>
      </c>
      <c r="C34" s="15">
        <f>-(C32+C33)*0.25</f>
        <v>-538.35589134164979</v>
      </c>
      <c r="D34" s="15">
        <f>-(D32+D33)*0.25</f>
        <v>-603.0740517616573</v>
      </c>
      <c r="E34" s="15" t="str">
        <f ca="1">-(E32+E33)*0.25</f>
        <v/>
      </c>
      <c r="F34" s="15" t="str">
        <f ca="1">-(F32+F33)*0.25</f>
        <v/>
      </c>
    </row>
    <row r="35" spans="1:7" x14ac:dyDescent="0.3">
      <c r="A35" s="3" t="s">
        <v>58</v>
      </c>
      <c r="B35" s="15">
        <f>-B17*0.02</f>
        <v>-134.11827599999998</v>
      </c>
      <c r="C35" s="15">
        <f>-C17*0.02</f>
        <v>-139.617125316</v>
      </c>
      <c r="D35" s="15">
        <f>-D17*0.02</f>
        <v>-145.34142745395596</v>
      </c>
      <c r="E35" s="15" t="str">
        <f ca="1">-E17*0.02</f>
        <v/>
      </c>
      <c r="F35" s="15" t="str">
        <f ca="1">-F17*0.02</f>
        <v/>
      </c>
    </row>
    <row r="36" spans="1:7" x14ac:dyDescent="0.3">
      <c r="A36" s="3" t="s">
        <v>94</v>
      </c>
      <c r="B36" s="15">
        <f>B24</f>
        <v>-967.25</v>
      </c>
      <c r="C36" s="15">
        <f>C24</f>
        <v>-918.88750000000005</v>
      </c>
      <c r="D36" s="15">
        <f>D24</f>
        <v>-872.94312500000001</v>
      </c>
      <c r="E36" s="15">
        <f>E24</f>
        <v>-829.29596874999993</v>
      </c>
      <c r="F36" s="15">
        <f>F24</f>
        <v>-787.83117031249992</v>
      </c>
    </row>
    <row r="37" spans="1:7" x14ac:dyDescent="0.3">
      <c r="A37" s="12" t="s">
        <v>103</v>
      </c>
      <c r="B37" s="13">
        <f>B32+B33+B34+B35+B36</f>
        <v>320.72342094999954</v>
      </c>
      <c r="C37" s="13">
        <f>C32+C33+C34+C35+C36</f>
        <v>556.56304870894928</v>
      </c>
      <c r="D37" s="13">
        <f>D32+D33+D34+D35+D36</f>
        <v>790.93760283101597</v>
      </c>
      <c r="E37" s="13" t="str">
        <f ca="1">E32+E33+E34+E35+E36</f>
        <v/>
      </c>
      <c r="F37" s="13" t="str">
        <f ca="1">F32+F33+F34+F35+F36</f>
        <v/>
      </c>
    </row>
    <row r="39" spans="1:7" x14ac:dyDescent="0.3">
      <c r="A39" s="61" t="s">
        <v>104</v>
      </c>
      <c r="B39" s="60"/>
      <c r="C39" s="60"/>
      <c r="D39" s="60"/>
      <c r="E39" s="60"/>
      <c r="F39" s="60"/>
      <c r="G39" s="60"/>
    </row>
    <row r="40" spans="1:7" x14ac:dyDescent="0.3">
      <c r="A40" s="3" t="s">
        <v>105</v>
      </c>
      <c r="B40" s="10">
        <v>5</v>
      </c>
    </row>
    <row r="41" spans="1:7" x14ac:dyDescent="0.3">
      <c r="A41" s="3" t="s">
        <v>106</v>
      </c>
      <c r="B41" s="28">
        <f>'3-Statement'!H6*1.1*1.1</f>
        <v>5073.6512202764225</v>
      </c>
    </row>
    <row r="42" spans="1:7" x14ac:dyDescent="0.3">
      <c r="A42" s="3" t="s">
        <v>26</v>
      </c>
      <c r="B42" s="9">
        <v>12</v>
      </c>
    </row>
    <row r="43" spans="1:7" x14ac:dyDescent="0.3">
      <c r="A43" s="3" t="s">
        <v>107</v>
      </c>
      <c r="B43" s="20">
        <f>B41*B42</f>
        <v>60883.81464331707</v>
      </c>
    </row>
    <row r="44" spans="1:7" x14ac:dyDescent="0.3">
      <c r="A44" s="3" t="s">
        <v>108</v>
      </c>
      <c r="B44" s="28">
        <f>F25</f>
        <v>14968.792235937497</v>
      </c>
    </row>
    <row r="45" spans="1:7" x14ac:dyDescent="0.3">
      <c r="A45" s="3" t="s">
        <v>109</v>
      </c>
      <c r="B45" s="20">
        <f>B43-B44</f>
        <v>45915.022407379569</v>
      </c>
    </row>
    <row r="46" spans="1:7" x14ac:dyDescent="0.3">
      <c r="A46" s="3" t="s">
        <v>110</v>
      </c>
      <c r="B46" s="28">
        <f>B7</f>
        <v>19345</v>
      </c>
    </row>
    <row r="47" spans="1:7" x14ac:dyDescent="0.3">
      <c r="A47" s="3" t="s">
        <v>111</v>
      </c>
      <c r="B47" s="29">
        <f>B45/B46</f>
        <v>2.3734826780759661</v>
      </c>
    </row>
    <row r="48" spans="1:7" x14ac:dyDescent="0.3">
      <c r="A48" s="3" t="s">
        <v>112</v>
      </c>
      <c r="B48" s="30">
        <f>B47^(1/5)-1</f>
        <v>0.18871355028473236</v>
      </c>
    </row>
    <row r="50" spans="1:7" x14ac:dyDescent="0.3">
      <c r="A50" s="61" t="s">
        <v>113</v>
      </c>
      <c r="B50" s="60"/>
      <c r="C50" s="60"/>
      <c r="D50" s="60"/>
      <c r="E50" s="60"/>
      <c r="F50" s="60"/>
      <c r="G50" s="60"/>
    </row>
    <row r="51" spans="1:7" x14ac:dyDescent="0.3">
      <c r="A51" s="12" t="s">
        <v>114</v>
      </c>
      <c r="B51" s="20">
        <f>B6</f>
        <v>38690</v>
      </c>
    </row>
    <row r="52" spans="1:7" x14ac:dyDescent="0.3">
      <c r="A52" s="12" t="s">
        <v>115</v>
      </c>
      <c r="B52" s="20">
        <f>B43</f>
        <v>60883.81464331707</v>
      </c>
    </row>
    <row r="53" spans="1:7" x14ac:dyDescent="0.3">
      <c r="A53" s="12" t="s">
        <v>116</v>
      </c>
      <c r="B53" s="31">
        <f>B5</f>
        <v>10</v>
      </c>
    </row>
    <row r="54" spans="1:7" x14ac:dyDescent="0.3">
      <c r="A54" s="12" t="s">
        <v>117</v>
      </c>
      <c r="B54" s="31">
        <f>B42</f>
        <v>12</v>
      </c>
    </row>
    <row r="55" spans="1:7" x14ac:dyDescent="0.3">
      <c r="A55" s="12" t="s">
        <v>118</v>
      </c>
      <c r="B55" s="29">
        <f>B47</f>
        <v>2.3734826780759661</v>
      </c>
    </row>
    <row r="56" spans="1:7" x14ac:dyDescent="0.3">
      <c r="A56" s="12" t="s">
        <v>119</v>
      </c>
      <c r="B56" s="30">
        <f>B48</f>
        <v>0.18871355028473236</v>
      </c>
    </row>
    <row r="57" spans="1:7" x14ac:dyDescent="0.3">
      <c r="A57" s="12" t="s">
        <v>120</v>
      </c>
      <c r="B57" s="32">
        <f>B40</f>
        <v>5</v>
      </c>
    </row>
  </sheetData>
  <mergeCells count="7">
    <mergeCell ref="A1:G1"/>
    <mergeCell ref="A3:G3"/>
    <mergeCell ref="A21:G21"/>
    <mergeCell ref="A39:G39"/>
    <mergeCell ref="A50:G50"/>
    <mergeCell ref="A30:G30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showGridLines="0" workbookViewId="0">
      <selection sqref="A1:H1"/>
    </sheetView>
  </sheetViews>
  <sheetFormatPr defaultRowHeight="14.4" x14ac:dyDescent="0.3"/>
  <cols>
    <col min="1" max="1" width="28" customWidth="1"/>
    <col min="2" max="8" width="14" customWidth="1"/>
  </cols>
  <sheetData>
    <row r="1" spans="1:8" ht="15.6" x14ac:dyDescent="0.3">
      <c r="A1" s="59" t="s">
        <v>121</v>
      </c>
      <c r="B1" s="60"/>
      <c r="C1" s="60"/>
      <c r="D1" s="60"/>
      <c r="E1" s="60"/>
      <c r="F1" s="60"/>
      <c r="G1" s="60"/>
      <c r="H1" s="60"/>
    </row>
    <row r="2" spans="1:8" x14ac:dyDescent="0.3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100</v>
      </c>
      <c r="F2" s="2" t="s">
        <v>126</v>
      </c>
      <c r="G2" s="2" t="s">
        <v>127</v>
      </c>
      <c r="H2" s="2" t="s">
        <v>128</v>
      </c>
    </row>
    <row r="3" spans="1:8" x14ac:dyDescent="0.3">
      <c r="A3" s="61" t="s">
        <v>129</v>
      </c>
      <c r="B3" s="60"/>
      <c r="C3" s="60"/>
      <c r="D3" s="60"/>
      <c r="E3" s="60"/>
      <c r="F3" s="60"/>
      <c r="G3" s="60"/>
      <c r="H3" s="60"/>
    </row>
    <row r="4" spans="1:8" x14ac:dyDescent="0.3">
      <c r="A4" s="33" t="s">
        <v>130</v>
      </c>
      <c r="B4" s="34">
        <v>42368</v>
      </c>
      <c r="C4" s="34">
        <v>50506</v>
      </c>
      <c r="D4" s="34">
        <v>6441</v>
      </c>
      <c r="E4" s="34">
        <v>4578</v>
      </c>
      <c r="F4" s="34">
        <v>2501</v>
      </c>
      <c r="G4" s="35">
        <v>11</v>
      </c>
      <c r="H4" s="35">
        <v>16.899999999999999</v>
      </c>
    </row>
    <row r="5" spans="1:8" x14ac:dyDescent="0.3">
      <c r="A5" s="3" t="s">
        <v>131</v>
      </c>
      <c r="B5" s="36">
        <v>25532</v>
      </c>
      <c r="C5" s="36">
        <v>27800</v>
      </c>
      <c r="D5" s="36">
        <v>3200</v>
      </c>
      <c r="E5" s="36">
        <v>1920</v>
      </c>
      <c r="F5" s="36">
        <v>1100</v>
      </c>
      <c r="G5" s="37">
        <v>14.5</v>
      </c>
      <c r="H5" s="37">
        <v>23.2</v>
      </c>
    </row>
    <row r="6" spans="1:8" x14ac:dyDescent="0.3">
      <c r="A6" s="3" t="s">
        <v>132</v>
      </c>
      <c r="B6" s="36">
        <v>8200</v>
      </c>
      <c r="C6" s="36">
        <v>9800</v>
      </c>
      <c r="D6" s="36">
        <v>2100</v>
      </c>
      <c r="E6" s="36">
        <v>840</v>
      </c>
      <c r="F6" s="36">
        <v>520</v>
      </c>
      <c r="G6" s="37">
        <v>11.7</v>
      </c>
      <c r="H6" s="37">
        <v>15.8</v>
      </c>
    </row>
    <row r="7" spans="1:8" x14ac:dyDescent="0.3">
      <c r="A7" s="3" t="s">
        <v>133</v>
      </c>
      <c r="B7" s="36">
        <v>9800</v>
      </c>
      <c r="C7" s="36">
        <v>11200</v>
      </c>
      <c r="D7" s="36">
        <v>2800</v>
      </c>
      <c r="E7" s="36">
        <v>1120</v>
      </c>
      <c r="F7" s="36">
        <v>650</v>
      </c>
      <c r="G7" s="37">
        <v>10</v>
      </c>
      <c r="H7" s="37">
        <v>15.1</v>
      </c>
    </row>
    <row r="8" spans="1:8" x14ac:dyDescent="0.3">
      <c r="A8" s="3" t="s">
        <v>134</v>
      </c>
      <c r="B8" s="36">
        <v>25532</v>
      </c>
      <c r="C8" s="36">
        <v>25800</v>
      </c>
      <c r="D8" s="36">
        <v>1850</v>
      </c>
      <c r="E8" s="36">
        <v>1110</v>
      </c>
      <c r="F8" s="36">
        <v>780</v>
      </c>
      <c r="G8" s="37">
        <v>23.2</v>
      </c>
      <c r="H8" s="37">
        <v>32.700000000000003</v>
      </c>
    </row>
    <row r="10" spans="1:8" x14ac:dyDescent="0.3">
      <c r="A10" s="61" t="s">
        <v>135</v>
      </c>
      <c r="B10" s="60"/>
      <c r="C10" s="60"/>
      <c r="D10" s="60"/>
      <c r="E10" s="60"/>
      <c r="F10" s="60"/>
      <c r="G10" s="60"/>
      <c r="H10" s="60"/>
    </row>
    <row r="11" spans="1:8" x14ac:dyDescent="0.3">
      <c r="A11" s="12" t="s">
        <v>136</v>
      </c>
      <c r="B11" s="38">
        <f t="shared" ref="B11:H11" si="0">AVERAGE(B5:B8)</f>
        <v>17266</v>
      </c>
      <c r="C11" s="38">
        <f t="shared" si="0"/>
        <v>18650</v>
      </c>
      <c r="D11" s="38">
        <f t="shared" si="0"/>
        <v>2487.5</v>
      </c>
      <c r="E11" s="38">
        <f t="shared" si="0"/>
        <v>1247.5</v>
      </c>
      <c r="F11" s="38">
        <f t="shared" si="0"/>
        <v>762.5</v>
      </c>
      <c r="G11" s="29">
        <f t="shared" si="0"/>
        <v>14.850000000000001</v>
      </c>
      <c r="H11" s="29">
        <f t="shared" si="0"/>
        <v>21.700000000000003</v>
      </c>
    </row>
    <row r="12" spans="1:8" x14ac:dyDescent="0.3">
      <c r="A12" s="12" t="s">
        <v>137</v>
      </c>
      <c r="B12" s="38">
        <f t="shared" ref="B12:H12" si="1">MEDIAN(B5:B8)</f>
        <v>17666</v>
      </c>
      <c r="C12" s="38">
        <f t="shared" si="1"/>
        <v>18500</v>
      </c>
      <c r="D12" s="38">
        <f t="shared" si="1"/>
        <v>2450</v>
      </c>
      <c r="E12" s="38">
        <f t="shared" si="1"/>
        <v>1115</v>
      </c>
      <c r="F12" s="38">
        <f t="shared" si="1"/>
        <v>715</v>
      </c>
      <c r="G12" s="29">
        <f t="shared" si="1"/>
        <v>13.1</v>
      </c>
      <c r="H12" s="29">
        <f t="shared" si="1"/>
        <v>19.5</v>
      </c>
    </row>
    <row r="13" spans="1:8" x14ac:dyDescent="0.3">
      <c r="A13" s="12" t="s">
        <v>138</v>
      </c>
      <c r="B13" s="38">
        <f t="shared" ref="B13:H13" si="2">MAX(B5:B8)</f>
        <v>25532</v>
      </c>
      <c r="C13" s="38">
        <f t="shared" si="2"/>
        <v>27800</v>
      </c>
      <c r="D13" s="38">
        <f t="shared" si="2"/>
        <v>3200</v>
      </c>
      <c r="E13" s="38">
        <f t="shared" si="2"/>
        <v>1920</v>
      </c>
      <c r="F13" s="38">
        <f t="shared" si="2"/>
        <v>1100</v>
      </c>
      <c r="G13" s="29">
        <f t="shared" si="2"/>
        <v>23.2</v>
      </c>
      <c r="H13" s="29">
        <f t="shared" si="2"/>
        <v>32.700000000000003</v>
      </c>
    </row>
    <row r="14" spans="1:8" x14ac:dyDescent="0.3">
      <c r="A14" s="12" t="s">
        <v>139</v>
      </c>
      <c r="B14" s="38">
        <f t="shared" ref="B14:H14" si="3">MIN(B5:B8)</f>
        <v>8200</v>
      </c>
      <c r="C14" s="38">
        <f t="shared" si="3"/>
        <v>9800</v>
      </c>
      <c r="D14" s="38">
        <f t="shared" si="3"/>
        <v>1850</v>
      </c>
      <c r="E14" s="38">
        <f t="shared" si="3"/>
        <v>840</v>
      </c>
      <c r="F14" s="38">
        <f t="shared" si="3"/>
        <v>520</v>
      </c>
      <c r="G14" s="29">
        <f t="shared" si="3"/>
        <v>10</v>
      </c>
      <c r="H14" s="29">
        <f t="shared" si="3"/>
        <v>15.1</v>
      </c>
    </row>
    <row r="16" spans="1:8" x14ac:dyDescent="0.3">
      <c r="A16" s="61" t="s">
        <v>140</v>
      </c>
      <c r="B16" s="60"/>
      <c r="C16" s="60"/>
      <c r="D16" s="60"/>
      <c r="E16" s="60"/>
      <c r="F16" s="60"/>
      <c r="G16" s="60"/>
      <c r="H16" s="60"/>
    </row>
    <row r="17" spans="1:8" x14ac:dyDescent="0.3">
      <c r="A17" s="2" t="s">
        <v>141</v>
      </c>
      <c r="B17" s="2" t="s">
        <v>142</v>
      </c>
      <c r="C17" s="2" t="s">
        <v>143</v>
      </c>
      <c r="D17" s="2" t="s">
        <v>144</v>
      </c>
      <c r="E17" s="2" t="s">
        <v>75</v>
      </c>
      <c r="F17" s="2" t="s">
        <v>76</v>
      </c>
      <c r="G17" s="2" t="s">
        <v>145</v>
      </c>
      <c r="H17" s="2" t="s">
        <v>146</v>
      </c>
    </row>
    <row r="18" spans="1:8" x14ac:dyDescent="0.3">
      <c r="A18" s="3" t="s">
        <v>147</v>
      </c>
      <c r="B18" s="37">
        <f>H11</f>
        <v>21.700000000000003</v>
      </c>
      <c r="C18" s="36">
        <f>'3-Statement'!F6</f>
        <v>3869.3122625999995</v>
      </c>
      <c r="D18" s="36">
        <f>B18*C18</f>
        <v>83964.076098420002</v>
      </c>
      <c r="E18" s="36">
        <f>Assumptions!B16</f>
        <v>8138</v>
      </c>
      <c r="F18" s="36">
        <f>D18-E18</f>
        <v>75826.076098420002</v>
      </c>
      <c r="G18" s="22">
        <f>F18/Assumptions!B17*100</f>
        <v>526569.97290569439</v>
      </c>
      <c r="H18" s="4">
        <f>G18/DCF!B31-1</f>
        <v>322.78202091194458</v>
      </c>
    </row>
    <row r="19" spans="1:8" x14ac:dyDescent="0.3">
      <c r="A19" s="3" t="s">
        <v>148</v>
      </c>
      <c r="B19" s="37">
        <f>H12</f>
        <v>19.5</v>
      </c>
      <c r="C19" s="36">
        <f>'3-Statement'!F6</f>
        <v>3869.3122625999995</v>
      </c>
      <c r="D19" s="36">
        <f>B19*C19</f>
        <v>75451.589120699995</v>
      </c>
      <c r="E19" s="36">
        <f>Assumptions!B16</f>
        <v>8138</v>
      </c>
      <c r="F19" s="36">
        <f>D19-E19</f>
        <v>67313.589120699995</v>
      </c>
      <c r="G19" s="22">
        <f>F19/Assumptions!B17*100</f>
        <v>467455.48000486108</v>
      </c>
      <c r="H19" s="4">
        <f>G19/DCF!B31-1</f>
        <v>286.4331765769781</v>
      </c>
    </row>
    <row r="20" spans="1:8" x14ac:dyDescent="0.3">
      <c r="A20" s="3" t="s">
        <v>149</v>
      </c>
      <c r="B20" s="37">
        <f>H13</f>
        <v>32.700000000000003</v>
      </c>
      <c r="C20" s="36">
        <f>'3-Statement'!F6</f>
        <v>3869.3122625999995</v>
      </c>
      <c r="D20" s="36">
        <f>B20*C20</f>
        <v>126526.51098702</v>
      </c>
      <c r="E20" s="36">
        <f>Assumptions!B16</f>
        <v>8138</v>
      </c>
      <c r="F20" s="36">
        <f>D20-E20</f>
        <v>118388.51098702</v>
      </c>
      <c r="G20" s="22">
        <f>F20/Assumptions!B17*100</f>
        <v>822142.43740986113</v>
      </c>
      <c r="H20" s="4">
        <f>G20/DCF!B31-1</f>
        <v>504.52624258677719</v>
      </c>
    </row>
    <row r="21" spans="1:8" x14ac:dyDescent="0.3">
      <c r="A21" s="3" t="s">
        <v>150</v>
      </c>
      <c r="B21" s="37">
        <f>H14</f>
        <v>15.1</v>
      </c>
      <c r="C21" s="36">
        <f>'3-Statement'!F6</f>
        <v>3869.3122625999995</v>
      </c>
      <c r="D21" s="36">
        <f>B21*C21</f>
        <v>58426.615165259987</v>
      </c>
      <c r="E21" s="36">
        <f>Assumptions!B16</f>
        <v>8138</v>
      </c>
      <c r="F21" s="36">
        <f>D21-E21</f>
        <v>50288.615165259987</v>
      </c>
      <c r="G21" s="22">
        <f>F21/Assumptions!B17*100</f>
        <v>349226.49420319434</v>
      </c>
      <c r="H21" s="4">
        <f>G21/DCF!B31-1</f>
        <v>213.73548790704504</v>
      </c>
    </row>
    <row r="24" spans="1:8" x14ac:dyDescent="0.3">
      <c r="A24" s="61" t="s">
        <v>151</v>
      </c>
      <c r="B24" s="60"/>
      <c r="C24" s="60"/>
      <c r="D24" s="60"/>
      <c r="E24" s="60"/>
      <c r="F24" s="60"/>
      <c r="G24" s="60"/>
      <c r="H24" s="60"/>
    </row>
    <row r="25" spans="1:8" x14ac:dyDescent="0.3">
      <c r="A25" s="2" t="s">
        <v>122</v>
      </c>
      <c r="B25" s="2" t="s">
        <v>152</v>
      </c>
      <c r="C25" s="2" t="s">
        <v>153</v>
      </c>
      <c r="D25" s="2" t="s">
        <v>154</v>
      </c>
      <c r="E25" s="2" t="s">
        <v>127</v>
      </c>
      <c r="F25" s="2" t="s">
        <v>128</v>
      </c>
      <c r="G25" s="2" t="s">
        <v>123</v>
      </c>
      <c r="H25" s="2" t="s">
        <v>155</v>
      </c>
    </row>
    <row r="26" spans="1:8" x14ac:dyDescent="0.3">
      <c r="A26" s="33" t="s">
        <v>156</v>
      </c>
      <c r="B26" s="39">
        <v>0.245</v>
      </c>
      <c r="C26" s="39">
        <v>0.71099999999999997</v>
      </c>
      <c r="D26" s="39">
        <v>0.38800000000000001</v>
      </c>
      <c r="E26" s="35">
        <v>11</v>
      </c>
      <c r="F26" s="35">
        <v>16.899999999999999</v>
      </c>
      <c r="G26" s="34">
        <v>42368</v>
      </c>
      <c r="H26" s="40" t="s">
        <v>157</v>
      </c>
    </row>
    <row r="27" spans="1:8" x14ac:dyDescent="0.3">
      <c r="A27" s="3" t="s">
        <v>158</v>
      </c>
      <c r="B27" s="4">
        <v>0.18</v>
      </c>
      <c r="C27" s="4">
        <v>0.6</v>
      </c>
      <c r="D27" s="4">
        <v>0.34399999999999997</v>
      </c>
      <c r="E27" s="37">
        <v>14.5</v>
      </c>
      <c r="F27" s="37">
        <v>23.2</v>
      </c>
      <c r="G27" s="36">
        <v>25532</v>
      </c>
      <c r="H27" s="26" t="s">
        <v>159</v>
      </c>
    </row>
    <row r="28" spans="1:8" x14ac:dyDescent="0.3">
      <c r="A28" s="3" t="s">
        <v>132</v>
      </c>
      <c r="B28" s="4">
        <v>0.15</v>
      </c>
      <c r="C28" s="4">
        <v>0.4</v>
      </c>
      <c r="D28" s="4">
        <v>0.248</v>
      </c>
      <c r="E28" s="37">
        <v>11.7</v>
      </c>
      <c r="F28" s="37">
        <v>15.8</v>
      </c>
      <c r="G28" s="36">
        <v>8200</v>
      </c>
      <c r="H28" s="26" t="s">
        <v>159</v>
      </c>
    </row>
    <row r="29" spans="1:8" x14ac:dyDescent="0.3">
      <c r="A29" s="3" t="s">
        <v>160</v>
      </c>
      <c r="B29" s="4">
        <v>0.2</v>
      </c>
      <c r="C29" s="4">
        <v>0.4</v>
      </c>
      <c r="D29" s="4">
        <v>0.23200000000000001</v>
      </c>
      <c r="E29" s="37">
        <v>10</v>
      </c>
      <c r="F29" s="37">
        <v>15.1</v>
      </c>
      <c r="G29" s="36">
        <v>9800</v>
      </c>
      <c r="H29" s="26" t="s">
        <v>159</v>
      </c>
    </row>
    <row r="30" spans="1:8" x14ac:dyDescent="0.3">
      <c r="A30" s="3" t="s">
        <v>161</v>
      </c>
      <c r="B30" s="4">
        <v>0.22</v>
      </c>
      <c r="C30" s="4">
        <v>0.6</v>
      </c>
      <c r="D30" s="4">
        <v>0.42199999999999999</v>
      </c>
      <c r="E30" s="37">
        <v>23.2</v>
      </c>
      <c r="F30" s="37">
        <v>32.700000000000003</v>
      </c>
      <c r="G30" s="36">
        <v>25532</v>
      </c>
      <c r="H30" s="26" t="s">
        <v>159</v>
      </c>
    </row>
  </sheetData>
  <mergeCells count="5">
    <mergeCell ref="A3:H3"/>
    <mergeCell ref="A24:H24"/>
    <mergeCell ref="A16:H16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showGridLines="0" tabSelected="1" workbookViewId="0">
      <selection sqref="A1:J1"/>
    </sheetView>
  </sheetViews>
  <sheetFormatPr defaultRowHeight="14.4" x14ac:dyDescent="0.3"/>
  <cols>
    <col min="1" max="1" width="28" customWidth="1"/>
    <col min="2" max="10" width="12" customWidth="1"/>
  </cols>
  <sheetData>
    <row r="1" spans="1:10" ht="15.6" x14ac:dyDescent="0.3">
      <c r="A1" s="59" t="s">
        <v>162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3">
      <c r="A2" s="63" t="s">
        <v>163</v>
      </c>
      <c r="B2" s="60"/>
      <c r="C2" s="60"/>
      <c r="D2" s="60"/>
      <c r="E2" s="60"/>
      <c r="F2" s="60"/>
      <c r="G2" s="60"/>
      <c r="H2" s="60"/>
      <c r="I2" s="60"/>
      <c r="J2" s="60"/>
    </row>
    <row r="4" spans="1:10" x14ac:dyDescent="0.3">
      <c r="A4" s="61" t="s">
        <v>164</v>
      </c>
      <c r="B4" s="60"/>
      <c r="C4" s="60"/>
      <c r="D4" s="60"/>
      <c r="E4" s="60"/>
      <c r="F4" s="60"/>
      <c r="G4" s="60"/>
      <c r="H4" s="60"/>
      <c r="I4" s="60"/>
      <c r="J4" s="60"/>
    </row>
    <row r="5" spans="1:10" x14ac:dyDescent="0.3">
      <c r="A5" s="2" t="s">
        <v>165</v>
      </c>
      <c r="B5" s="2" t="s">
        <v>139</v>
      </c>
      <c r="C5" s="2" t="s">
        <v>166</v>
      </c>
      <c r="D5" s="2" t="s">
        <v>138</v>
      </c>
      <c r="E5" s="2" t="s">
        <v>167</v>
      </c>
      <c r="F5" s="2" t="s">
        <v>168</v>
      </c>
      <c r="G5" s="2" t="s">
        <v>169</v>
      </c>
      <c r="H5" s="2" t="s">
        <v>170</v>
      </c>
      <c r="I5" s="2" t="s">
        <v>171</v>
      </c>
    </row>
    <row r="6" spans="1:10" x14ac:dyDescent="0.3">
      <c r="A6" s="33" t="s">
        <v>172</v>
      </c>
      <c r="B6" s="41">
        <f>DCF!B31*0.85</f>
        <v>1382.3635905082106</v>
      </c>
      <c r="C6" s="22">
        <f>DCF!B31</f>
        <v>1626.3101064802477</v>
      </c>
      <c r="D6" s="41">
        <f>DCF!B31*1.15</f>
        <v>1870.2566224522848</v>
      </c>
      <c r="E6" s="42">
        <v>0.35</v>
      </c>
      <c r="F6" s="43">
        <f>B6*E6</f>
        <v>483.82725667787366</v>
      </c>
      <c r="G6" s="22">
        <f>C6*E6</f>
        <v>569.20853726808662</v>
      </c>
      <c r="H6" s="43">
        <f>D6*E6</f>
        <v>654.58981785829963</v>
      </c>
      <c r="I6" s="44" t="s">
        <v>173</v>
      </c>
    </row>
    <row r="7" spans="1:10" x14ac:dyDescent="0.3">
      <c r="A7" s="3" t="s">
        <v>174</v>
      </c>
      <c r="B7" s="43">
        <f>Comps!G21</f>
        <v>349226.49420319434</v>
      </c>
      <c r="C7" s="22">
        <f>Comps!G19</f>
        <v>467455.48000486108</v>
      </c>
      <c r="D7" s="43">
        <f>Comps!G18</f>
        <v>526569.97290569439</v>
      </c>
      <c r="E7" s="42">
        <v>0.25</v>
      </c>
      <c r="F7" s="43">
        <f>B7*E7</f>
        <v>87306.623550798584</v>
      </c>
      <c r="G7" s="22">
        <f>C7*E7</f>
        <v>116863.87000121527</v>
      </c>
      <c r="H7" s="43">
        <f>D7*E7</f>
        <v>131642.4932264236</v>
      </c>
      <c r="I7" s="44" t="s">
        <v>175</v>
      </c>
    </row>
    <row r="8" spans="1:10" x14ac:dyDescent="0.3">
      <c r="A8" s="3" t="s">
        <v>176</v>
      </c>
      <c r="B8" s="43">
        <f>LBO!B45/Assumptions!B17*100*0.9</f>
        <v>286968.89004612231</v>
      </c>
      <c r="C8" s="22">
        <f>LBO!B45/Assumptions!B17*100</f>
        <v>318854.32227346924</v>
      </c>
      <c r="D8" s="43">
        <f>LBO!B45/Assumptions!B17*100*1.1</f>
        <v>350739.75450081617</v>
      </c>
      <c r="E8" s="42">
        <v>0.2</v>
      </c>
      <c r="F8" s="43">
        <f>B8*E8</f>
        <v>57393.778009224465</v>
      </c>
      <c r="G8" s="22">
        <f>C8*E8</f>
        <v>63770.864454693852</v>
      </c>
      <c r="H8" s="43">
        <f>D8*E8</f>
        <v>70147.95090016324</v>
      </c>
      <c r="I8" s="44" t="s">
        <v>177</v>
      </c>
    </row>
    <row r="9" spans="1:10" x14ac:dyDescent="0.3">
      <c r="A9" s="3" t="s">
        <v>178</v>
      </c>
      <c r="B9" s="43">
        <v>800</v>
      </c>
      <c r="C9" s="22">
        <v>1100</v>
      </c>
      <c r="D9" s="43">
        <v>1400</v>
      </c>
      <c r="E9" s="42">
        <v>0.1</v>
      </c>
      <c r="F9" s="43">
        <f>B9*E9</f>
        <v>80</v>
      </c>
      <c r="G9" s="22">
        <f>C9*E9</f>
        <v>110</v>
      </c>
      <c r="H9" s="43">
        <f>D9*E9</f>
        <v>140</v>
      </c>
      <c r="I9" s="44" t="s">
        <v>179</v>
      </c>
    </row>
    <row r="10" spans="1:10" x14ac:dyDescent="0.3">
      <c r="A10" s="3" t="s">
        <v>180</v>
      </c>
      <c r="B10" s="43">
        <f>Assumptions!B17*0+11079.3/14.4*100*3</f>
        <v>230818.75</v>
      </c>
      <c r="C10" s="22">
        <f>Assumptions!B17*0+11079.3/14.4*100*3.5</f>
        <v>269288.54166666663</v>
      </c>
      <c r="D10" s="43">
        <f>Assumptions!B17*0+11079.3/14.4*100*4</f>
        <v>307758.33333333331</v>
      </c>
      <c r="E10" s="42">
        <v>0.1</v>
      </c>
      <c r="F10" s="43">
        <f>B10*E10</f>
        <v>23081.875</v>
      </c>
      <c r="G10" s="22">
        <f>C10*E10</f>
        <v>26928.854166666664</v>
      </c>
      <c r="H10" s="43">
        <f>D10*E10</f>
        <v>30775.833333333332</v>
      </c>
      <c r="I10" s="44" t="s">
        <v>181</v>
      </c>
    </row>
    <row r="11" spans="1:10" x14ac:dyDescent="0.3">
      <c r="A11" s="45" t="s">
        <v>182</v>
      </c>
      <c r="B11" s="46" t="s">
        <v>38</v>
      </c>
      <c r="C11" s="46" t="s">
        <v>38</v>
      </c>
      <c r="D11" s="46" t="s">
        <v>38</v>
      </c>
      <c r="E11" s="47">
        <f>SUM(E6:E10)</f>
        <v>1</v>
      </c>
      <c r="F11" s="48">
        <f>SUM(F6:F10)</f>
        <v>168346.10381670092</v>
      </c>
      <c r="G11" s="48">
        <f>SUM(G6:G10)</f>
        <v>208242.79715984387</v>
      </c>
      <c r="H11" s="48">
        <f>SUM(H6:H10)</f>
        <v>233360.86727777848</v>
      </c>
    </row>
    <row r="13" spans="1:10" x14ac:dyDescent="0.3">
      <c r="A13" s="61" t="s">
        <v>183</v>
      </c>
      <c r="B13" s="60"/>
      <c r="C13" s="60"/>
      <c r="D13" s="60"/>
      <c r="E13" s="60"/>
      <c r="F13" s="60"/>
      <c r="G13" s="60"/>
      <c r="H13" s="60"/>
      <c r="I13" s="60"/>
      <c r="J13" s="60"/>
    </row>
    <row r="15" spans="1:10" x14ac:dyDescent="0.3">
      <c r="A15" s="49" t="s">
        <v>165</v>
      </c>
      <c r="B15" s="50" t="s">
        <v>184</v>
      </c>
      <c r="C15" s="50" t="s">
        <v>185</v>
      </c>
      <c r="D15" s="50" t="s">
        <v>186</v>
      </c>
      <c r="E15" s="50" t="s">
        <v>187</v>
      </c>
      <c r="F15" s="50" t="s">
        <v>188</v>
      </c>
      <c r="G15" s="50" t="s">
        <v>189</v>
      </c>
      <c r="H15" s="50" t="s">
        <v>190</v>
      </c>
      <c r="I15" s="50" t="s">
        <v>191</v>
      </c>
      <c r="J15" s="50" t="s">
        <v>192</v>
      </c>
    </row>
    <row r="16" spans="1:10" x14ac:dyDescent="0.3">
      <c r="A16" s="51" t="s">
        <v>193</v>
      </c>
      <c r="B16" s="52"/>
      <c r="C16" s="52"/>
      <c r="D16" s="52"/>
      <c r="E16" s="52"/>
      <c r="F16" s="52"/>
      <c r="G16" s="52"/>
      <c r="H16" s="53"/>
      <c r="I16" s="53"/>
      <c r="J16" s="53"/>
    </row>
    <row r="17" spans="1:10" x14ac:dyDescent="0.3">
      <c r="A17" s="51" t="s">
        <v>194</v>
      </c>
      <c r="B17" s="52"/>
      <c r="C17" s="52"/>
      <c r="D17" s="52"/>
      <c r="E17" s="52"/>
      <c r="F17" s="54"/>
      <c r="G17" s="54"/>
      <c r="H17" s="54"/>
      <c r="I17" s="54"/>
      <c r="J17" s="54"/>
    </row>
    <row r="18" spans="1:10" x14ac:dyDescent="0.3">
      <c r="A18" s="51" t="s">
        <v>195</v>
      </c>
      <c r="B18" s="52"/>
      <c r="C18" s="52"/>
      <c r="D18" s="52"/>
      <c r="E18" s="52"/>
      <c r="F18" s="52"/>
      <c r="G18" s="52"/>
      <c r="H18" s="52"/>
      <c r="I18" s="55"/>
      <c r="J18" s="55"/>
    </row>
    <row r="19" spans="1:10" x14ac:dyDescent="0.3">
      <c r="A19" s="51" t="s">
        <v>196</v>
      </c>
      <c r="B19" s="52"/>
      <c r="C19" s="52"/>
      <c r="D19" s="52"/>
      <c r="E19" s="52"/>
      <c r="F19" s="56"/>
      <c r="G19" s="56"/>
      <c r="H19" s="56"/>
      <c r="I19" s="52"/>
      <c r="J19" s="52"/>
    </row>
    <row r="20" spans="1:10" x14ac:dyDescent="0.3">
      <c r="A20" s="51" t="s">
        <v>197</v>
      </c>
      <c r="B20" s="52"/>
      <c r="C20" s="52"/>
      <c r="D20" s="52"/>
      <c r="E20" s="52"/>
      <c r="F20" s="52"/>
      <c r="G20" s="52"/>
      <c r="H20" s="52"/>
      <c r="I20" s="52"/>
      <c r="J20" s="52"/>
    </row>
    <row r="22" spans="1:10" x14ac:dyDescent="0.3">
      <c r="A22" s="62" t="s">
        <v>198</v>
      </c>
      <c r="B22" s="60"/>
      <c r="C22" s="60"/>
      <c r="D22" s="60"/>
      <c r="E22" s="60"/>
      <c r="F22" s="60"/>
      <c r="G22" s="60"/>
      <c r="H22" s="60"/>
      <c r="I22" s="60"/>
      <c r="J22" s="60"/>
    </row>
    <row r="24" spans="1:10" x14ac:dyDescent="0.3">
      <c r="A24" s="61" t="s">
        <v>199</v>
      </c>
      <c r="B24" s="60"/>
      <c r="C24" s="60"/>
      <c r="D24" s="60"/>
      <c r="E24" s="60"/>
      <c r="F24" s="60"/>
      <c r="G24" s="60"/>
      <c r="H24" s="60"/>
      <c r="I24" s="60"/>
      <c r="J24" s="60"/>
    </row>
    <row r="25" spans="1:10" x14ac:dyDescent="0.3">
      <c r="A25" s="12" t="s">
        <v>200</v>
      </c>
      <c r="B25" s="22">
        <f>F11</f>
        <v>168346.10381670092</v>
      </c>
    </row>
    <row r="26" spans="1:10" x14ac:dyDescent="0.3">
      <c r="A26" s="12" t="s">
        <v>201</v>
      </c>
      <c r="B26" s="22">
        <f>G11</f>
        <v>208242.79715984387</v>
      </c>
    </row>
    <row r="27" spans="1:10" x14ac:dyDescent="0.3">
      <c r="A27" s="12" t="s">
        <v>202</v>
      </c>
      <c r="B27" s="22">
        <f>H11</f>
        <v>233360.86727777848</v>
      </c>
    </row>
    <row r="28" spans="1:10" x14ac:dyDescent="0.3">
      <c r="A28" s="3" t="s">
        <v>203</v>
      </c>
      <c r="B28" s="57">
        <v>768</v>
      </c>
    </row>
    <row r="29" spans="1:10" x14ac:dyDescent="0.3">
      <c r="A29" s="12" t="s">
        <v>204</v>
      </c>
      <c r="B29" s="30">
        <f>B26/B28-1</f>
        <v>270.14947546854671</v>
      </c>
    </row>
    <row r="30" spans="1:10" x14ac:dyDescent="0.3">
      <c r="A30" s="12" t="s">
        <v>205</v>
      </c>
      <c r="B30" s="58" t="s">
        <v>206</v>
      </c>
    </row>
  </sheetData>
  <mergeCells count="6">
    <mergeCell ref="A1:J1"/>
    <mergeCell ref="A22:J22"/>
    <mergeCell ref="A4:J4"/>
    <mergeCell ref="A24:J24"/>
    <mergeCell ref="A2:J2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3-Statement</vt:lpstr>
      <vt:lpstr>DCF</vt:lpstr>
      <vt:lpstr>LBO</vt:lpstr>
      <vt:lpstr>Comps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Ugale</cp:lastModifiedBy>
  <dcterms:created xsi:type="dcterms:W3CDTF">2026-03-13T11:09:23Z</dcterms:created>
  <dcterms:modified xsi:type="dcterms:W3CDTF">2026-03-13T11:43:59Z</dcterms:modified>
</cp:coreProperties>
</file>