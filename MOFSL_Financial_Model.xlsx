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3-Statement" sheetId="2" state="visible" r:id="rId2"/>
    <sheet name="DCF" sheetId="3" state="visible" r:id="rId3"/>
    <sheet name="LBO" sheetId="4" state="visible" r:id="rId4"/>
    <sheet name="Comps" sheetId="5" state="visible" r:id="rId5"/>
    <sheet name="Football Fiel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#,##0.0"/>
    <numFmt numFmtId="166" formatCode="0.0"/>
    <numFmt numFmtId="167" formatCode="#,##0.0;(#,##0.0);-"/>
    <numFmt numFmtId="168" formatCode="0.000"/>
    <numFmt numFmtId="169" formatCode="Rs #,##0.00"/>
    <numFmt numFmtId="170" formatCode="Rs #,##0"/>
    <numFmt numFmtId="171" formatCode="0.0x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BFBFBF"/>
      <sz val="10"/>
    </font>
    <font>
      <name val="Arial"/>
      <b val="1"/>
      <color rgb="00008000"/>
      <sz val="10"/>
    </font>
    <font>
      <name val="Arial"/>
      <color rgb="00008000"/>
      <sz val="10"/>
    </font>
    <font>
      <name val="Arial"/>
      <i val="1"/>
      <color rgb="00666666"/>
      <sz val="9"/>
    </font>
    <font>
      <name val="Arial"/>
      <i val="1"/>
      <color rgb="00666666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b val="1"/>
      <color rgb="00000000"/>
      <sz val="8"/>
    </font>
    <font>
      <name val="Arial"/>
      <b val="1"/>
      <color rgb="00375623"/>
      <sz val="10"/>
    </font>
  </fonts>
  <fills count="13">
    <fill>
      <patternFill/>
    </fill>
    <fill>
      <patternFill patternType="gray125"/>
    </fill>
    <fill>
      <patternFill patternType="solid">
        <fgColor rgb="001F2D4E"/>
      </patternFill>
    </fill>
    <fill>
      <patternFill patternType="solid">
        <fgColor rgb="002E4A7A"/>
      </patternFill>
    </fill>
    <fill>
      <patternFill patternType="solid">
        <fgColor rgb="00FFFF00"/>
      </patternFill>
    </fill>
    <fill>
      <patternFill patternType="solid">
        <fgColor rgb="00D9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5F5F5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164" fontId="5" fillId="0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right" vertical="center"/>
    </xf>
    <xf numFmtId="0" fontId="0" fillId="3" borderId="1" pivotButton="0" quotePrefix="0" xfId="0"/>
    <xf numFmtId="0" fontId="7" fillId="5" borderId="1" pivotButton="0" quotePrefix="0" xfId="0"/>
    <xf numFmtId="167" fontId="8" fillId="5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9" fontId="8" fillId="5" borderId="1" applyAlignment="1" pivotButton="0" quotePrefix="0" xfId="0">
      <alignment horizontal="right" vertical="center"/>
    </xf>
    <xf numFmtId="0" fontId="3" fillId="2" borderId="1" pivotButton="0" quotePrefix="0" xfId="0"/>
    <xf numFmtId="9" fontId="2" fillId="3" borderId="1" applyAlignment="1" pivotButton="0" quotePrefix="0" xfId="0">
      <alignment horizontal="center" vertical="center"/>
    </xf>
    <xf numFmtId="170" fontId="5" fillId="6" borderId="1" applyAlignment="1" pivotButton="0" quotePrefix="0" xfId="0">
      <alignment horizontal="center" vertical="center"/>
    </xf>
    <xf numFmtId="170" fontId="8" fillId="6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71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0" fontId="7" fillId="7" borderId="1" pivotButton="0" quotePrefix="0" xfId="0"/>
    <xf numFmtId="3" fontId="8" fillId="7" borderId="1" applyAlignment="1" pivotButton="0" quotePrefix="0" xfId="0">
      <alignment horizontal="right" vertical="center"/>
    </xf>
    <xf numFmtId="171" fontId="8" fillId="7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70" fontId="8" fillId="5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170" fontId="5" fillId="7" borderId="1" applyAlignment="1" pivotButton="0" quotePrefix="0" xfId="0">
      <alignment horizontal="right" vertical="center"/>
    </xf>
    <xf numFmtId="9" fontId="6" fillId="4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0" fontId="2" fillId="2" borderId="1" pivotButton="0" quotePrefix="0" xfId="0"/>
    <xf numFmtId="0" fontId="9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right" vertical="center"/>
    </xf>
    <xf numFmtId="170" fontId="2" fillId="2" borderId="1" applyAlignment="1" pivotButton="0" quotePrefix="0" xfId="0">
      <alignment horizontal="right" vertical="center"/>
    </xf>
    <xf numFmtId="0" fontId="14" fillId="3" borderId="1" pivotButton="0" quotePrefix="0" xfId="0"/>
    <xf numFmtId="0" fontId="15" fillId="3" borderId="1" applyAlignment="1" pivotButton="0" quotePrefix="0" xfId="0">
      <alignment horizontal="center" vertical="center"/>
    </xf>
    <xf numFmtId="0" fontId="16" fillId="8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3" fillId="2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MOTILAL OSWAL -- ASSUMPTIONS &amp; KEY DRIVERS</t>
        </is>
      </c>
    </row>
    <row r="2">
      <c r="A2" s="2" t="inlineStr">
        <is>
          <t>Driver</t>
        </is>
      </c>
      <c r="B2" s="3" t="inlineStr">
        <is>
          <t>FY2022A</t>
        </is>
      </c>
      <c r="C2" s="3" t="inlineStr">
        <is>
          <t>FY2023A</t>
        </is>
      </c>
      <c r="D2" s="3" t="inlineStr">
        <is>
          <t>FY2024A</t>
        </is>
      </c>
      <c r="E2" s="3" t="inlineStr">
        <is>
          <t>FY2025A</t>
        </is>
      </c>
      <c r="F2" s="3" t="inlineStr">
        <is>
          <t>FY2026E</t>
        </is>
      </c>
      <c r="G2" s="3" t="inlineStr">
        <is>
          <t>FY2027E</t>
        </is>
      </c>
      <c r="H2" s="3" t="inlineStr">
        <is>
          <t>FY2028E</t>
        </is>
      </c>
      <c r="I2" s="3" t="inlineStr">
        <is>
          <t>FY2029E</t>
        </is>
      </c>
    </row>
    <row r="3">
      <c r="A3" s="4" t="inlineStr">
        <is>
          <t>REVENUE ASSUMPTIONS</t>
        </is>
      </c>
    </row>
    <row r="4">
      <c r="A4" s="5" t="inlineStr">
        <is>
          <t>Revenue Growth Rate (%)</t>
        </is>
      </c>
      <c r="B4" s="6" t="n">
        <v>0.041</v>
      </c>
      <c r="C4" s="6" t="n">
        <v>0.355</v>
      </c>
      <c r="D4" s="6" t="n">
        <v>0.245</v>
      </c>
      <c r="E4" s="6" t="n">
        <v>0.245</v>
      </c>
      <c r="F4" s="7" t="n">
        <v>0.18</v>
      </c>
      <c r="G4" s="7" t="n">
        <v>0.15</v>
      </c>
      <c r="H4" s="7" t="n">
        <v>0.12</v>
      </c>
      <c r="I4" s="7" t="n">
        <v>0.1</v>
      </c>
    </row>
    <row r="5">
      <c r="A5" s="4" t="inlineStr">
        <is>
          <t>MARGIN ASSUMPTIONS</t>
        </is>
      </c>
    </row>
    <row r="6">
      <c r="A6" s="5" t="inlineStr">
        <is>
          <t>EBITDA Margin (%)</t>
        </is>
      </c>
      <c r="B6" s="6" t="n">
        <v>0.577</v>
      </c>
      <c r="C6" s="6" t="n">
        <v>0.488</v>
      </c>
      <c r="D6" s="6" t="n">
        <v>0.795</v>
      </c>
      <c r="E6" s="6" t="n">
        <v>0.711</v>
      </c>
      <c r="F6" s="7" t="n">
        <v>0.68</v>
      </c>
      <c r="G6" s="7" t="n">
        <v>0.7</v>
      </c>
      <c r="H6" s="7" t="n">
        <v>0.72</v>
      </c>
      <c r="I6" s="7" t="n">
        <v>0.72</v>
      </c>
    </row>
    <row r="7">
      <c r="A7" s="5" t="inlineStr">
        <is>
          <t>Net Income Margin (%)</t>
        </is>
      </c>
      <c r="B7" s="6" t="n">
        <v>0.357</v>
      </c>
      <c r="C7" s="6" t="n">
        <v>0.18</v>
      </c>
      <c r="D7" s="6" t="n">
        <v>0.472</v>
      </c>
      <c r="E7" s="6" t="n">
        <v>0.388</v>
      </c>
      <c r="F7" s="7" t="n">
        <v>0.4</v>
      </c>
      <c r="G7" s="7" t="n">
        <v>0.41</v>
      </c>
      <c r="H7" s="7" t="n">
        <v>0.42</v>
      </c>
      <c r="I7" s="7" t="n">
        <v>0.42</v>
      </c>
    </row>
    <row r="8">
      <c r="A8" s="5" t="inlineStr">
        <is>
          <t>Tax Rate (%)</t>
        </is>
      </c>
      <c r="B8" s="6" t="n">
        <v>0.25</v>
      </c>
      <c r="C8" s="6" t="n">
        <v>0.25</v>
      </c>
      <c r="D8" s="6" t="n">
        <v>0.25</v>
      </c>
      <c r="E8" s="6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</row>
    <row r="10">
      <c r="A10" s="4" t="inlineStr">
        <is>
          <t>DCF ASSUMPTIONS</t>
        </is>
      </c>
    </row>
    <row r="11">
      <c r="A11" s="5" t="inlineStr">
        <is>
          <t>WACC (%)</t>
        </is>
      </c>
      <c r="B11" s="7" t="n">
        <v>0.14</v>
      </c>
    </row>
    <row r="12">
      <c r="A12" s="5" t="inlineStr">
        <is>
          <t>Risk Free Rate (%)</t>
        </is>
      </c>
      <c r="B12" s="7" t="n">
        <v>0.07099999999999999</v>
      </c>
    </row>
    <row r="13">
      <c r="A13" s="5" t="inlineStr">
        <is>
          <t>Equity Risk Premium (%)</t>
        </is>
      </c>
      <c r="B13" s="7" t="n">
        <v>0.075</v>
      </c>
    </row>
    <row r="14">
      <c r="A14" s="5" t="inlineStr">
        <is>
          <t>Beta</t>
        </is>
      </c>
      <c r="B14" s="8" t="n">
        <v>1.15</v>
      </c>
    </row>
    <row r="15">
      <c r="A15" s="5" t="inlineStr">
        <is>
          <t>Terminal Growth Rate (%)</t>
        </is>
      </c>
      <c r="B15" s="7" t="n">
        <v>0.05</v>
      </c>
    </row>
    <row r="16">
      <c r="A16" s="5" t="inlineStr">
        <is>
          <t>Net Debt (Rs Cr)</t>
        </is>
      </c>
      <c r="B16" s="9" t="n">
        <v>8138</v>
      </c>
    </row>
    <row r="17">
      <c r="A17" s="5" t="inlineStr">
        <is>
          <t>Shares Outstanding (Cr)</t>
        </is>
      </c>
      <c r="B17" s="10" t="n">
        <v>14.4</v>
      </c>
    </row>
    <row r="19">
      <c r="A19" s="4" t="inlineStr">
        <is>
          <t>LBO ASSUMPTIONS</t>
        </is>
      </c>
    </row>
    <row r="20">
      <c r="A20" s="5" t="inlineStr">
        <is>
          <t>Entry EV/EBITDA Multiple (x)</t>
        </is>
      </c>
      <c r="B20" s="11" t="n">
        <v>10</v>
      </c>
    </row>
    <row r="21">
      <c r="A21" s="5" t="inlineStr">
        <is>
          <t>Exit EV/EBITDA Multiple (x)</t>
        </is>
      </c>
      <c r="B21" s="11" t="n">
        <v>12</v>
      </c>
    </row>
    <row r="22">
      <c r="A22" s="5" t="inlineStr">
        <is>
          <t>Debt % of Entry EV</t>
        </is>
      </c>
      <c r="B22" s="7" t="n">
        <v>0.5</v>
      </c>
    </row>
    <row r="23">
      <c r="A23" s="5" t="inlineStr">
        <is>
          <t>Senior Debt % of Total Debt</t>
        </is>
      </c>
      <c r="B23" s="7" t="n">
        <v>0.7</v>
      </c>
    </row>
    <row r="24">
      <c r="A24" s="5" t="inlineStr">
        <is>
          <t>Mezz Debt % of Total Debt</t>
        </is>
      </c>
      <c r="B24" s="7" t="n">
        <v>0.3</v>
      </c>
    </row>
    <row r="25">
      <c r="A25" s="5" t="inlineStr">
        <is>
          <t>Senior Interest Rate (%)</t>
        </is>
      </c>
      <c r="B25" s="7" t="n">
        <v>0.09</v>
      </c>
    </row>
    <row r="26">
      <c r="A26" s="5" t="inlineStr">
        <is>
          <t>Mezz Interest Rate (%)</t>
        </is>
      </c>
      <c r="B26" s="7" t="n">
        <v>0.13</v>
      </c>
    </row>
    <row r="27">
      <c r="A27" s="5" t="inlineStr">
        <is>
          <t>Amortisation (% of debt/yr)</t>
        </is>
      </c>
      <c r="B27" s="7" t="n">
        <v>0.05</v>
      </c>
    </row>
    <row r="28">
      <c r="A28" s="5" t="inlineStr">
        <is>
          <t>Holding Period (years)</t>
        </is>
      </c>
      <c r="B28" s="12" t="n">
        <v>5</v>
      </c>
    </row>
  </sheetData>
  <mergeCells count="5">
    <mergeCell ref="A1:H1"/>
    <mergeCell ref="A3:H3"/>
    <mergeCell ref="A10:H10"/>
    <mergeCell ref="A19:H1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THREE-STATEMENT MODEL -- MOTILAL OSWAL (Rs Crores)</t>
        </is>
      </c>
    </row>
    <row r="2">
      <c r="A2" s="13" t="n"/>
      <c r="B2" s="3" t="inlineStr">
        <is>
          <t>FY2022A</t>
        </is>
      </c>
      <c r="C2" s="3" t="inlineStr">
        <is>
          <t>FY2023A</t>
        </is>
      </c>
      <c r="D2" s="3" t="inlineStr">
        <is>
          <t>FY2024A</t>
        </is>
      </c>
      <c r="E2" s="3" t="inlineStr">
        <is>
          <t>FY2025A</t>
        </is>
      </c>
      <c r="F2" s="3" t="inlineStr">
        <is>
          <t>FY2026E</t>
        </is>
      </c>
      <c r="G2" s="3" t="inlineStr">
        <is>
          <t>FY2027E</t>
        </is>
      </c>
      <c r="H2" s="3" t="inlineStr">
        <is>
          <t>FY2028E</t>
        </is>
      </c>
      <c r="I2" s="3" t="inlineStr">
        <is>
          <t>FY2029E</t>
        </is>
      </c>
    </row>
    <row r="3">
      <c r="A3" s="4" t="inlineStr">
        <is>
          <t>INCOME STATEMENT</t>
        </is>
      </c>
    </row>
    <row r="4">
      <c r="A4" s="14" t="inlineStr">
        <is>
          <t>Total Revenue</t>
        </is>
      </c>
      <c r="B4" s="15" t="n">
        <v>3818.9</v>
      </c>
      <c r="C4" s="15" t="n">
        <v>5174.4</v>
      </c>
      <c r="D4" s="15" t="n">
        <v>6441.8</v>
      </c>
      <c r="E4" s="15" t="n">
        <v>6441.8</v>
      </c>
      <c r="F4" s="15">
        <f>E4*(1+Assumptions!B4)</f>
        <v/>
      </c>
      <c r="G4" s="15">
        <f>F4*(1+Assumptions!B4)</f>
        <v/>
      </c>
      <c r="H4" s="15">
        <f>G4*(1+Assumptions!B4)</f>
        <v/>
      </c>
      <c r="I4" s="15">
        <f>H4*(1+Assumptions!B4)</f>
        <v/>
      </c>
    </row>
    <row r="5">
      <c r="A5" s="5" t="inlineStr">
        <is>
          <t xml:space="preserve">  Gross Profit</t>
        </is>
      </c>
      <c r="B5" s="16" t="inlineStr">
        <is>
          <t>---</t>
        </is>
      </c>
      <c r="C5" s="17" t="n">
        <v>2032.9</v>
      </c>
      <c r="D5" s="17" t="n">
        <v>2791.7</v>
      </c>
      <c r="E5" s="17" t="n">
        <v>3526.5</v>
      </c>
      <c r="F5" s="16" t="inlineStr">
        <is>
          <t>---</t>
        </is>
      </c>
      <c r="G5" s="16" t="inlineStr">
        <is>
          <t>---</t>
        </is>
      </c>
      <c r="H5" s="16" t="inlineStr">
        <is>
          <t>---</t>
        </is>
      </c>
      <c r="I5" s="16" t="inlineStr">
        <is>
          <t>---</t>
        </is>
      </c>
    </row>
    <row r="6">
      <c r="A6" s="14" t="inlineStr">
        <is>
          <t xml:space="preserve">  EBITDA</t>
        </is>
      </c>
      <c r="B6" s="15" t="n">
        <v>1862.5</v>
      </c>
      <c r="C6" s="15" t="n">
        <v>4115</v>
      </c>
      <c r="D6" s="15" t="n">
        <v>4578.3</v>
      </c>
      <c r="E6" s="15" t="n">
        <v>4578.3</v>
      </c>
      <c r="F6" s="15">
        <f>F4*Assumptions!B6</f>
        <v/>
      </c>
      <c r="G6" s="15">
        <f>G4*Assumptions!B6</f>
        <v/>
      </c>
      <c r="H6" s="15">
        <f>H4*Assumptions!B6</f>
        <v/>
      </c>
      <c r="I6" s="15">
        <f>I4*Assumptions!B6</f>
        <v/>
      </c>
    </row>
    <row r="7">
      <c r="A7" s="5" t="inlineStr">
        <is>
          <t xml:space="preserve">  EBIT</t>
        </is>
      </c>
      <c r="B7" s="17" t="n">
        <v>1804.1</v>
      </c>
      <c r="C7" s="17" t="n">
        <v>4032.5</v>
      </c>
      <c r="D7" s="17" t="n">
        <v>4479.5</v>
      </c>
      <c r="E7" s="17" t="n">
        <v>4479.5</v>
      </c>
      <c r="F7" s="16" t="inlineStr">
        <is>
          <t>---</t>
        </is>
      </c>
      <c r="G7" s="16" t="inlineStr">
        <is>
          <t>---</t>
        </is>
      </c>
      <c r="H7" s="16" t="inlineStr">
        <is>
          <t>---</t>
        </is>
      </c>
      <c r="I7" s="16" t="inlineStr">
        <is>
          <t>---</t>
        </is>
      </c>
    </row>
    <row r="8">
      <c r="A8" s="14" t="inlineStr">
        <is>
          <t xml:space="preserve">  Net Income</t>
        </is>
      </c>
      <c r="B8" s="15" t="n">
        <v>931.1</v>
      </c>
      <c r="C8" s="15" t="n">
        <v>2441.1</v>
      </c>
      <c r="D8" s="15" t="n">
        <v>2501.6</v>
      </c>
      <c r="E8" s="15" t="n">
        <v>2501.6</v>
      </c>
      <c r="F8" s="15">
        <f>F6*Assumptions!B7</f>
        <v/>
      </c>
      <c r="G8" s="15">
        <f>G6*Assumptions!B7</f>
        <v/>
      </c>
      <c r="H8" s="15">
        <f>H6*Assumptions!B7</f>
        <v/>
      </c>
      <c r="I8" s="15">
        <f>I6*Assumptions!B7</f>
        <v/>
      </c>
    </row>
    <row r="10">
      <c r="A10" s="4" t="inlineStr">
        <is>
          <t>BALANCE SHEET</t>
        </is>
      </c>
    </row>
    <row r="11">
      <c r="A11" s="14" t="inlineStr">
        <is>
          <t>Total Assets</t>
        </is>
      </c>
      <c r="B11" s="15" t="n">
        <v>23009.9</v>
      </c>
      <c r="C11" s="15" t="n">
        <v>31829.2</v>
      </c>
      <c r="D11" s="15" t="n">
        <v>33987.1</v>
      </c>
      <c r="E11" s="15" t="n">
        <v>33987.1</v>
      </c>
      <c r="F11" s="16" t="inlineStr">
        <is>
          <t>---</t>
        </is>
      </c>
      <c r="G11" s="16" t="inlineStr">
        <is>
          <t>---</t>
        </is>
      </c>
      <c r="H11" s="16" t="inlineStr">
        <is>
          <t>---</t>
        </is>
      </c>
      <c r="I11" s="16" t="inlineStr">
        <is>
          <t>---</t>
        </is>
      </c>
    </row>
    <row r="12">
      <c r="A12" s="5" t="inlineStr">
        <is>
          <t xml:space="preserve">  Cash &amp; Equivalents</t>
        </is>
      </c>
      <c r="B12" s="17" t="n">
        <v>2576.3</v>
      </c>
      <c r="C12" s="17" t="n">
        <v>5285.7</v>
      </c>
      <c r="D12" s="17" t="n">
        <v>6592.5</v>
      </c>
      <c r="E12" s="17" t="n">
        <v>6592.5</v>
      </c>
      <c r="F12" s="16" t="inlineStr">
        <is>
          <t>---</t>
        </is>
      </c>
      <c r="G12" s="16" t="inlineStr">
        <is>
          <t>---</t>
        </is>
      </c>
      <c r="H12" s="16" t="inlineStr">
        <is>
          <t>---</t>
        </is>
      </c>
      <c r="I12" s="16" t="inlineStr">
        <is>
          <t>---</t>
        </is>
      </c>
    </row>
    <row r="13">
      <c r="A13" s="5" t="inlineStr">
        <is>
          <t xml:space="preserve">  Total Debt</t>
        </is>
      </c>
      <c r="B13" s="17" t="n">
        <v>10275.9</v>
      </c>
      <c r="C13" s="17" t="n">
        <v>13745.6</v>
      </c>
      <c r="D13" s="17" t="n">
        <v>14731.6</v>
      </c>
      <c r="E13" s="17" t="n">
        <v>14731.6</v>
      </c>
      <c r="F13" s="16" t="inlineStr">
        <is>
          <t>---</t>
        </is>
      </c>
      <c r="G13" s="16" t="inlineStr">
        <is>
          <t>---</t>
        </is>
      </c>
      <c r="H13" s="16" t="inlineStr">
        <is>
          <t>---</t>
        </is>
      </c>
      <c r="I13" s="16" t="inlineStr">
        <is>
          <t>---</t>
        </is>
      </c>
    </row>
    <row r="14">
      <c r="A14" s="14" t="inlineStr">
        <is>
          <t xml:space="preserve">  Stockholders Equity</t>
        </is>
      </c>
      <c r="B14" s="15" t="n">
        <v>6252.2</v>
      </c>
      <c r="C14" s="15" t="n">
        <v>8731.799999999999</v>
      </c>
      <c r="D14" s="15" t="n">
        <v>11079.3</v>
      </c>
      <c r="E14" s="15" t="n">
        <v>11079.3</v>
      </c>
      <c r="F14" s="16" t="inlineStr">
        <is>
          <t>---</t>
        </is>
      </c>
      <c r="G14" s="16" t="inlineStr">
        <is>
          <t>---</t>
        </is>
      </c>
      <c r="H14" s="16" t="inlineStr">
        <is>
          <t>---</t>
        </is>
      </c>
      <c r="I14" s="16" t="inlineStr">
        <is>
          <t>---</t>
        </is>
      </c>
    </row>
    <row r="16">
      <c r="A16" s="4" t="inlineStr">
        <is>
          <t>CASH FLOW STATEMENT</t>
        </is>
      </c>
    </row>
    <row r="17">
      <c r="A17" s="14" t="inlineStr">
        <is>
          <t>Operating Cash Flow</t>
        </is>
      </c>
      <c r="B17" s="15" t="n">
        <v>-3057.9</v>
      </c>
      <c r="C17" s="15" t="n">
        <v>-349.6</v>
      </c>
      <c r="D17" s="15" t="n">
        <v>1214.6</v>
      </c>
      <c r="E17" s="15" t="n">
        <v>1214.6</v>
      </c>
      <c r="F17" s="16" t="inlineStr">
        <is>
          <t>---</t>
        </is>
      </c>
      <c r="G17" s="16" t="inlineStr">
        <is>
          <t>---</t>
        </is>
      </c>
      <c r="H17" s="16" t="inlineStr">
        <is>
          <t>---</t>
        </is>
      </c>
      <c r="I17" s="16" t="inlineStr">
        <is>
          <t>---</t>
        </is>
      </c>
    </row>
    <row r="18">
      <c r="A18" s="5" t="inlineStr">
        <is>
          <t xml:space="preserve">  Capital Expenditure</t>
        </is>
      </c>
      <c r="B18" s="17" t="n">
        <v>-153.8</v>
      </c>
      <c r="C18" s="17" t="n">
        <v>-150.8</v>
      </c>
      <c r="D18" s="17" t="n">
        <v>-284.3</v>
      </c>
      <c r="E18" s="17" t="n">
        <v>-284.3</v>
      </c>
      <c r="F18" s="16" t="inlineStr">
        <is>
          <t>---</t>
        </is>
      </c>
      <c r="G18" s="16" t="inlineStr">
        <is>
          <t>---</t>
        </is>
      </c>
      <c r="H18" s="16" t="inlineStr">
        <is>
          <t>---</t>
        </is>
      </c>
      <c r="I18" s="16" t="inlineStr">
        <is>
          <t>---</t>
        </is>
      </c>
    </row>
    <row r="19">
      <c r="A19" s="14" t="inlineStr">
        <is>
          <t xml:space="preserve">  Free Cash Flow</t>
        </is>
      </c>
      <c r="B19" s="15" t="n">
        <v>-3211.7</v>
      </c>
      <c r="C19" s="15" t="n">
        <v>-500.4</v>
      </c>
      <c r="D19" s="15" t="n">
        <v>930.4</v>
      </c>
      <c r="E19" s="15" t="n">
        <v>930.4</v>
      </c>
      <c r="F19" s="16" t="inlineStr">
        <is>
          <t>---</t>
        </is>
      </c>
      <c r="G19" s="16" t="inlineStr">
        <is>
          <t>---</t>
        </is>
      </c>
      <c r="H19" s="16" t="inlineStr">
        <is>
          <t>---</t>
        </is>
      </c>
      <c r="I19" s="16" t="inlineStr">
        <is>
          <t>---</t>
        </is>
      </c>
    </row>
    <row r="20">
      <c r="A20" s="5" t="inlineStr">
        <is>
          <t xml:space="preserve">  Financing Cash Flow</t>
        </is>
      </c>
      <c r="B20" s="17" t="n">
        <v>3770.4</v>
      </c>
      <c r="C20" s="17" t="n">
        <v>3305.8</v>
      </c>
      <c r="D20" s="17" t="n">
        <v>745.1</v>
      </c>
      <c r="E20" s="17" t="n">
        <v>745.1</v>
      </c>
      <c r="F20" s="16" t="inlineStr">
        <is>
          <t>---</t>
        </is>
      </c>
      <c r="G20" s="16" t="inlineStr">
        <is>
          <t>---</t>
        </is>
      </c>
      <c r="H20" s="16" t="inlineStr">
        <is>
          <t>---</t>
        </is>
      </c>
      <c r="I20" s="16" t="inlineStr">
        <is>
          <t>---</t>
        </is>
      </c>
    </row>
  </sheetData>
  <mergeCells count="4">
    <mergeCell ref="A3:H3"/>
    <mergeCell ref="A16:H16"/>
    <mergeCell ref="A10:H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DCF VALUATION -- MOTILAL OSWAL (Rs Crores)</t>
        </is>
      </c>
    </row>
    <row r="2">
      <c r="A2" s="13" t="n"/>
      <c r="B2" s="3" t="inlineStr">
        <is>
          <t>FY2026E</t>
        </is>
      </c>
      <c r="C2" s="3" t="inlineStr">
        <is>
          <t>FY2027E</t>
        </is>
      </c>
      <c r="D2" s="3" t="inlineStr">
        <is>
          <t>FY2028E</t>
        </is>
      </c>
    </row>
    <row r="3">
      <c r="A3" s="4" t="inlineStr">
        <is>
          <t>STEP 1 -- UNLEVERED FREE CASH FLOW (UFCF)</t>
        </is>
      </c>
    </row>
    <row r="4">
      <c r="A4" s="14" t="inlineStr">
        <is>
          <t>EBITDA (from 3-Stmt)</t>
        </is>
      </c>
      <c r="B4" s="18">
        <f>'3-Statement'!F6</f>
        <v/>
      </c>
      <c r="C4" s="18">
        <f>'3-Statement'!G6</f>
        <v/>
      </c>
      <c r="D4" s="18">
        <f>'3-Statement'!H6</f>
        <v/>
      </c>
    </row>
    <row r="5">
      <c r="A5" s="5" t="inlineStr">
        <is>
          <t xml:space="preserve">  (-) Tax on EBIT (25%)</t>
        </is>
      </c>
      <c r="B5" s="17">
        <f>-B4*Assumptions!B8</f>
        <v/>
      </c>
      <c r="C5" s="17">
        <f>-C4*Assumptions!B8</f>
        <v/>
      </c>
      <c r="D5" s="17">
        <f>-D4*Assumptions!B8</f>
        <v/>
      </c>
    </row>
    <row r="6">
      <c r="A6" s="14" t="inlineStr">
        <is>
          <t xml:space="preserve">  NOPAT</t>
        </is>
      </c>
      <c r="B6" s="15">
        <f>B4+B5</f>
        <v/>
      </c>
      <c r="C6" s="15">
        <f>C4+C5</f>
        <v/>
      </c>
      <c r="D6" s="15">
        <f>D4+D5</f>
        <v/>
      </c>
    </row>
    <row r="7">
      <c r="A7" s="5" t="inlineStr">
        <is>
          <t xml:space="preserve">  (+) D&amp;A est. (2% Rev)</t>
        </is>
      </c>
      <c r="B7" s="17">
        <f>'3-Statement'!F4*0.02</f>
        <v/>
      </c>
      <c r="C7" s="17">
        <f>'3-Statement'!G4*0.02</f>
        <v/>
      </c>
      <c r="D7" s="17">
        <f>'3-Statement'!H4*0.02</f>
        <v/>
      </c>
    </row>
    <row r="8">
      <c r="A8" s="5" t="inlineStr">
        <is>
          <t xml:space="preserve">  (-) Capex (2% Rev)</t>
        </is>
      </c>
      <c r="B8" s="17">
        <f>-'3-Statement'!F4*0.02</f>
        <v/>
      </c>
      <c r="C8" s="17">
        <f>-'3-Statement'!G4*0.02</f>
        <v/>
      </c>
      <c r="D8" s="17">
        <f>-'3-Statement'!H4*0.02</f>
        <v/>
      </c>
    </row>
    <row r="9">
      <c r="A9" s="5" t="inlineStr">
        <is>
          <t xml:space="preserve">  (-) Change in NWC (3%)</t>
        </is>
      </c>
      <c r="B9" s="17">
        <f>-'3-Statement'!F4*0.03</f>
        <v/>
      </c>
      <c r="C9" s="17">
        <f>-'3-Statement'!G4*0.03</f>
        <v/>
      </c>
      <c r="D9" s="17">
        <f>-'3-Statement'!H4*0.03</f>
        <v/>
      </c>
    </row>
    <row r="10">
      <c r="A10" s="14" t="inlineStr">
        <is>
          <t>Unlevered Free Cash Flow</t>
        </is>
      </c>
      <c r="B10" s="15">
        <f>B6+B7+B8+B9</f>
        <v/>
      </c>
      <c r="C10" s="15">
        <f>C6+C7+C8+C9</f>
        <v/>
      </c>
      <c r="D10" s="15">
        <f>D6+D7+D8+D9</f>
        <v/>
      </c>
    </row>
    <row r="12">
      <c r="A12" s="4" t="inlineStr">
        <is>
          <t>STEP 2 -- DISCOUNT FACTORS &amp; PRESENT VALUES</t>
        </is>
      </c>
    </row>
    <row r="13">
      <c r="A13" s="5" t="inlineStr">
        <is>
          <t>Discount Period (mid-year)</t>
        </is>
      </c>
      <c r="B13" s="19" t="n">
        <v>0.5</v>
      </c>
      <c r="C13" s="19" t="n">
        <v>1.5</v>
      </c>
      <c r="D13" s="19" t="n">
        <v>2.5</v>
      </c>
    </row>
    <row r="14">
      <c r="A14" s="5" t="inlineStr">
        <is>
          <t>Discount Factor</t>
        </is>
      </c>
      <c r="B14" s="20">
        <f>1/(1+Assumptions!B11)^B13</f>
        <v/>
      </c>
      <c r="C14" s="20">
        <f>1/(1+Assumptions!B11)^C13</f>
        <v/>
      </c>
      <c r="D14" s="20">
        <f>1/(1+Assumptions!B11)^D13</f>
        <v/>
      </c>
    </row>
    <row r="15">
      <c r="A15" s="14" t="inlineStr">
        <is>
          <t>PV of UFCF</t>
        </is>
      </c>
      <c r="B15" s="15">
        <f>B10*B14</f>
        <v/>
      </c>
      <c r="C15" s="15">
        <f>C10*C14</f>
        <v/>
      </c>
      <c r="D15" s="15">
        <f>D10*D14</f>
        <v/>
      </c>
    </row>
    <row r="17">
      <c r="A17" s="4" t="inlineStr">
        <is>
          <t>STEP 3 -- TERMINAL VALUE (GORDON GROWTH)</t>
        </is>
      </c>
    </row>
    <row r="18">
      <c r="A18" s="14" t="inlineStr">
        <is>
          <t>Terminal Year UFCF (FY2028E)</t>
        </is>
      </c>
      <c r="B18" s="15">
        <f>D10</f>
        <v/>
      </c>
    </row>
    <row r="19">
      <c r="A19" s="5" t="inlineStr">
        <is>
          <t>Terminal Growth Rate (g)</t>
        </is>
      </c>
      <c r="B19" s="21">
        <f>Assumptions!B15</f>
        <v/>
      </c>
    </row>
    <row r="20">
      <c r="A20" s="5" t="inlineStr">
        <is>
          <t>WACC</t>
        </is>
      </c>
      <c r="B20" s="21">
        <f>Assumptions!B11</f>
        <v/>
      </c>
    </row>
    <row r="21">
      <c r="A21" s="14" t="inlineStr">
        <is>
          <t>Terminal Value = UFCF*(1+g)/(WACC-g)</t>
        </is>
      </c>
      <c r="B21" s="15">
        <f>B18*(1+B19)/(B20-B19)</f>
        <v/>
      </c>
    </row>
    <row r="22">
      <c r="A22" s="14" t="inlineStr">
        <is>
          <t>PV of Terminal Value</t>
        </is>
      </c>
      <c r="B22" s="15">
        <f>B21/(1+Assumptions!B11)^2.5</f>
        <v/>
      </c>
    </row>
    <row r="24">
      <c r="A24" s="4" t="inlineStr">
        <is>
          <t>STEP 4 -- ENTERPRISE VALUE TO EQUITY VALUE</t>
        </is>
      </c>
    </row>
    <row r="25">
      <c r="A25" s="14" t="inlineStr">
        <is>
          <t>Sum of PV of UFCFs</t>
        </is>
      </c>
      <c r="B25" s="22">
        <f>SUM(B15:D15)</f>
        <v/>
      </c>
    </row>
    <row r="26">
      <c r="A26" s="5" t="inlineStr">
        <is>
          <t>(+) PV of Terminal Value</t>
        </is>
      </c>
      <c r="B26" s="23">
        <f>B22</f>
        <v/>
      </c>
    </row>
    <row r="27">
      <c r="A27" s="14" t="inlineStr">
        <is>
          <t>Enterprise Value (EV)</t>
        </is>
      </c>
      <c r="B27" s="22">
        <f>B25+B26</f>
        <v/>
      </c>
    </row>
    <row r="28">
      <c r="A28" s="5" t="inlineStr">
        <is>
          <t>(-) Net Debt</t>
        </is>
      </c>
      <c r="B28" s="23">
        <f>Assumptions!B16</f>
        <v/>
      </c>
    </row>
    <row r="29">
      <c r="A29" s="14" t="inlineStr">
        <is>
          <t>Equity Value</t>
        </is>
      </c>
      <c r="B29" s="22">
        <f>B27-B28</f>
        <v/>
      </c>
    </row>
    <row r="30">
      <c r="A30" s="5" t="inlineStr">
        <is>
          <t>Shares Outstanding (Cr)</t>
        </is>
      </c>
      <c r="B30" s="23">
        <f>Assumptions!B17</f>
        <v/>
      </c>
    </row>
    <row r="31">
      <c r="A31" s="14" t="inlineStr">
        <is>
          <t>Implied Share Price (Rs)</t>
        </is>
      </c>
      <c r="B31" s="24">
        <f>B29/B30</f>
        <v/>
      </c>
    </row>
    <row r="33">
      <c r="A33" s="4" t="inlineStr">
        <is>
          <t>STEP 5 -- SENSITIVITY: WACC vs TERMINAL GROWTH</t>
        </is>
      </c>
    </row>
    <row r="34">
      <c r="A34" s="25" t="inlineStr">
        <is>
          <t>Share Price  WACC vs TGR</t>
        </is>
      </c>
      <c r="B34" s="26" t="n">
        <v>0.03</v>
      </c>
      <c r="C34" s="26" t="n">
        <v>0.04</v>
      </c>
      <c r="D34" s="26" t="n">
        <v>0.05</v>
      </c>
      <c r="E34" s="26" t="n">
        <v>0.06</v>
      </c>
      <c r="F34" s="26" t="n">
        <v>0.07000000000000001</v>
      </c>
    </row>
    <row r="35">
      <c r="A35" s="26" t="n">
        <v>0.12</v>
      </c>
      <c r="B35" s="27" t="n">
        <v>153891</v>
      </c>
      <c r="C35" s="27" t="n">
        <v>176676</v>
      </c>
      <c r="D35" s="27" t="n">
        <v>205970</v>
      </c>
      <c r="E35" s="27" t="n">
        <v>245029</v>
      </c>
      <c r="F35" s="27" t="n">
        <v>299711</v>
      </c>
    </row>
    <row r="36">
      <c r="A36" s="26" t="n">
        <v>0.13</v>
      </c>
      <c r="B36" s="27" t="n">
        <v>133813</v>
      </c>
      <c r="C36" s="27" t="n">
        <v>151799</v>
      </c>
      <c r="D36" s="27" t="n">
        <v>174282</v>
      </c>
      <c r="E36" s="27" t="n">
        <v>203188</v>
      </c>
      <c r="F36" s="27" t="n">
        <v>241729</v>
      </c>
    </row>
    <row r="37">
      <c r="A37" s="26" t="n">
        <v>0.14</v>
      </c>
      <c r="B37" s="27" t="n">
        <v>117477</v>
      </c>
      <c r="C37" s="27" t="n">
        <v>132000</v>
      </c>
      <c r="D37" s="28" t="n">
        <v>149750</v>
      </c>
      <c r="E37" s="27" t="n">
        <v>171937</v>
      </c>
      <c r="F37" s="27" t="n">
        <v>200464</v>
      </c>
    </row>
    <row r="38">
      <c r="A38" s="26" t="n">
        <v>0.15</v>
      </c>
      <c r="B38" s="27" t="n">
        <v>103945</v>
      </c>
      <c r="C38" s="27" t="n">
        <v>115890</v>
      </c>
      <c r="D38" s="27" t="n">
        <v>130223</v>
      </c>
      <c r="E38" s="27" t="n">
        <v>147742</v>
      </c>
      <c r="F38" s="27" t="n">
        <v>169641</v>
      </c>
    </row>
    <row r="39">
      <c r="A39" s="26" t="n">
        <v>0.16</v>
      </c>
      <c r="B39" s="27" t="n">
        <v>92567</v>
      </c>
      <c r="C39" s="27" t="n">
        <v>102543</v>
      </c>
      <c r="D39" s="27" t="n">
        <v>114334</v>
      </c>
      <c r="E39" s="27" t="n">
        <v>128482</v>
      </c>
      <c r="F39" s="27" t="n">
        <v>145775</v>
      </c>
    </row>
  </sheetData>
  <mergeCells count="6">
    <mergeCell ref="A24:F24"/>
    <mergeCell ref="A33:F33"/>
    <mergeCell ref="A1:F1"/>
    <mergeCell ref="A17:F17"/>
    <mergeCell ref="A12:F12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LBO MODEL -- MOTILAL OSWAL (Rs Crores)</t>
        </is>
      </c>
    </row>
    <row r="3">
      <c r="A3" s="4" t="inlineStr">
        <is>
          <t>TRANSACTION ASSUMPTIONS</t>
        </is>
      </c>
    </row>
    <row r="4">
      <c r="A4" s="5" t="inlineStr">
        <is>
          <t>Entry EBITDA (FY2026E, Rs Cr)</t>
        </is>
      </c>
      <c r="B4" s="10" t="n">
        <v>3869</v>
      </c>
    </row>
    <row r="5">
      <c r="A5" s="5" t="inlineStr">
        <is>
          <t>Entry EV/EBITDA Multiple (x)</t>
        </is>
      </c>
      <c r="B5" s="11" t="n">
        <v>10</v>
      </c>
    </row>
    <row r="6">
      <c r="A6" s="5" t="inlineStr">
        <is>
          <t>Entry Enterprise Value (Rs Cr)</t>
        </is>
      </c>
      <c r="B6" s="29">
        <f>B4*B5</f>
        <v/>
      </c>
    </row>
    <row r="7">
      <c r="A7" s="5" t="inlineStr">
        <is>
          <t>(-) Equity Contribution (50%)</t>
        </is>
      </c>
      <c r="B7" s="29">
        <f>B6*0.50</f>
        <v/>
      </c>
    </row>
    <row r="8">
      <c r="A8" s="5" t="inlineStr">
        <is>
          <t>(+) Total Debt (50%)</t>
        </is>
      </c>
      <c r="B8" s="29">
        <f>B6*0.50</f>
        <v/>
      </c>
    </row>
    <row r="9">
      <c r="A9" s="5" t="inlineStr">
        <is>
          <t>Senior Debt (70% of debt)</t>
        </is>
      </c>
      <c r="B9" s="29">
        <f>B8*0.70</f>
        <v/>
      </c>
    </row>
    <row r="10">
      <c r="A10" s="5" t="inlineStr">
        <is>
          <t>Mezz Debt (30% of debt)</t>
        </is>
      </c>
      <c r="B10" s="29">
        <f>B8*0.30</f>
        <v/>
      </c>
    </row>
    <row r="11">
      <c r="A11" s="5" t="inlineStr">
        <is>
          <t>Senior Interest Rate (%)</t>
        </is>
      </c>
      <c r="B11" s="7" t="n">
        <v>0.09</v>
      </c>
    </row>
    <row r="12">
      <c r="A12" s="5" t="inlineStr">
        <is>
          <t>Mezz Interest Rate (%)</t>
        </is>
      </c>
      <c r="B12" s="7" t="n">
        <v>0.13</v>
      </c>
    </row>
    <row r="13">
      <c r="A13" s="5" t="inlineStr">
        <is>
          <t>Amortisation (% of debt/yr)</t>
        </is>
      </c>
      <c r="B13" s="7" t="n">
        <v>0.05</v>
      </c>
    </row>
    <row r="15">
      <c r="A15" s="4" t="inlineStr">
        <is>
          <t>5-YEAR PROJECTIONS</t>
        </is>
      </c>
    </row>
    <row r="16">
      <c r="A16" s="13" t="n"/>
      <c r="B16" s="3" t="inlineStr">
        <is>
          <t>FY2026E</t>
        </is>
      </c>
      <c r="C16" s="3" t="inlineStr">
        <is>
          <t>FY2027E</t>
        </is>
      </c>
      <c r="D16" s="3" t="inlineStr">
        <is>
          <t>FY2028E</t>
        </is>
      </c>
      <c r="E16" s="3" t="inlineStr">
        <is>
          <t>FY2029E</t>
        </is>
      </c>
      <c r="F16" s="3" t="inlineStr">
        <is>
          <t>FY2030E</t>
        </is>
      </c>
    </row>
    <row r="17">
      <c r="A17" s="14" t="inlineStr">
        <is>
          <t>Revenue (Rs Cr)</t>
        </is>
      </c>
      <c r="B17" s="15">
        <f>'3-Statement'!F4</f>
        <v/>
      </c>
      <c r="C17" s="15">
        <f>'3-Statement'!G4</f>
        <v/>
      </c>
      <c r="D17" s="15">
        <f>'3-Statement'!H4</f>
        <v/>
      </c>
      <c r="E17" s="15">
        <f>E17*1.10</f>
        <v/>
      </c>
      <c r="F17" s="15">
        <f>F17*1.10</f>
        <v/>
      </c>
    </row>
    <row r="18">
      <c r="A18" s="14" t="inlineStr">
        <is>
          <t>EBITDA (Rs Cr)</t>
        </is>
      </c>
      <c r="B18" s="15">
        <f>'3-Statement'!F6</f>
        <v/>
      </c>
      <c r="C18" s="15">
        <f>'3-Statement'!G6</f>
        <v/>
      </c>
      <c r="D18" s="15">
        <f>'3-Statement'!H6</f>
        <v/>
      </c>
      <c r="E18" s="15">
        <f>E18*1.10</f>
        <v/>
      </c>
      <c r="F18" s="15">
        <f>F18*1.10</f>
        <v/>
      </c>
    </row>
    <row r="19">
      <c r="A19" s="5" t="inlineStr">
        <is>
          <t>EBITDA Margin (%)</t>
        </is>
      </c>
      <c r="B19" s="6">
        <f>B18/B17</f>
        <v/>
      </c>
      <c r="C19" s="6">
        <f>C18/C17</f>
        <v/>
      </c>
      <c r="D19" s="6">
        <f>D18/D17</f>
        <v/>
      </c>
      <c r="E19" s="6">
        <f>E18/E17</f>
        <v/>
      </c>
      <c r="F19" s="6">
        <f>F18/F17</f>
        <v/>
      </c>
    </row>
    <row r="21">
      <c r="A21" s="4" t="inlineStr">
        <is>
          <t>DEBT SCHEDULE</t>
        </is>
      </c>
    </row>
    <row r="22">
      <c r="A22" s="13" t="n"/>
      <c r="B22" s="3" t="inlineStr">
        <is>
          <t>FY2026E</t>
        </is>
      </c>
      <c r="C22" s="3" t="inlineStr">
        <is>
          <t>FY2027E</t>
        </is>
      </c>
      <c r="D22" s="3" t="inlineStr">
        <is>
          <t>FY2028E</t>
        </is>
      </c>
      <c r="E22" s="3" t="inlineStr">
        <is>
          <t>FY2029E</t>
        </is>
      </c>
      <c r="F22" s="3" t="inlineStr">
        <is>
          <t>FY2030E</t>
        </is>
      </c>
    </row>
    <row r="23">
      <c r="A23" s="14" t="inlineStr">
        <is>
          <t>Opening Total Debt</t>
        </is>
      </c>
      <c r="B23" s="18">
        <f>B8</f>
        <v/>
      </c>
      <c r="C23" s="15">
        <f>B25</f>
        <v/>
      </c>
      <c r="D23" s="15">
        <f>C25</f>
        <v/>
      </c>
      <c r="E23" s="15">
        <f>D25</f>
        <v/>
      </c>
      <c r="F23" s="15">
        <f>E25</f>
        <v/>
      </c>
    </row>
    <row r="24">
      <c r="A24" s="5" t="inlineStr">
        <is>
          <t xml:space="preserve">  (-) Amortisation</t>
        </is>
      </c>
      <c r="B24" s="17">
        <f>-B23*B13</f>
        <v/>
      </c>
      <c r="C24" s="17">
        <f>-C23*B13</f>
        <v/>
      </c>
      <c r="D24" s="17">
        <f>-D23*B13</f>
        <v/>
      </c>
      <c r="E24" s="17">
        <f>-E23*B13</f>
        <v/>
      </c>
      <c r="F24" s="17">
        <f>-F23*B13</f>
        <v/>
      </c>
    </row>
    <row r="25">
      <c r="A25" s="14" t="inlineStr">
        <is>
          <t>Closing Total Debt</t>
        </is>
      </c>
      <c r="B25" s="15">
        <f>B23+B24</f>
        <v/>
      </c>
      <c r="C25" s="15">
        <f>C23+C24</f>
        <v/>
      </c>
      <c r="D25" s="15">
        <f>D23+D24</f>
        <v/>
      </c>
      <c r="E25" s="15">
        <f>E23+E24</f>
        <v/>
      </c>
      <c r="F25" s="15">
        <f>F23+F24</f>
        <v/>
      </c>
    </row>
    <row r="26">
      <c r="A26" s="5" t="inlineStr">
        <is>
          <t>Senior Interest</t>
        </is>
      </c>
      <c r="B26" s="17">
        <f>-B23*0.70*B11</f>
        <v/>
      </c>
      <c r="C26" s="17">
        <f>-C23*0.70*B11</f>
        <v/>
      </c>
      <c r="D26" s="17">
        <f>-D23*0.70*B11</f>
        <v/>
      </c>
      <c r="E26" s="17">
        <f>-E23*0.70*B11</f>
        <v/>
      </c>
      <c r="F26" s="17">
        <f>-F23*0.70*B11</f>
        <v/>
      </c>
    </row>
    <row r="27">
      <c r="A27" s="5" t="inlineStr">
        <is>
          <t>Mezz Interest</t>
        </is>
      </c>
      <c r="B27" s="17">
        <f>-B23*0.30*B12</f>
        <v/>
      </c>
      <c r="C27" s="17">
        <f>-C23*0.30*B12</f>
        <v/>
      </c>
      <c r="D27" s="17">
        <f>-D23*0.30*B12</f>
        <v/>
      </c>
      <c r="E27" s="17">
        <f>-E23*0.30*B12</f>
        <v/>
      </c>
      <c r="F27" s="17">
        <f>-F23*0.30*B12</f>
        <v/>
      </c>
    </row>
    <row r="28">
      <c r="A28" s="14" t="inlineStr">
        <is>
          <t>Total Interest Expense</t>
        </is>
      </c>
      <c r="B28" s="15">
        <f>B26+B27</f>
        <v/>
      </c>
      <c r="C28" s="15">
        <f>C26+C27</f>
        <v/>
      </c>
      <c r="D28" s="15">
        <f>D26+D27</f>
        <v/>
      </c>
      <c r="E28" s="15">
        <f>E26+E27</f>
        <v/>
      </c>
      <c r="F28" s="15">
        <f>F26+F27</f>
        <v/>
      </c>
    </row>
    <row r="30">
      <c r="A30" s="4" t="inlineStr">
        <is>
          <t>FREE CASH FLOW</t>
        </is>
      </c>
    </row>
    <row r="31">
      <c r="A31" s="13" t="n"/>
      <c r="B31" s="3" t="inlineStr">
        <is>
          <t>FY2026E</t>
        </is>
      </c>
      <c r="C31" s="3" t="inlineStr">
        <is>
          <t>FY2027E</t>
        </is>
      </c>
      <c r="D31" s="3" t="inlineStr">
        <is>
          <t>FY2028E</t>
        </is>
      </c>
      <c r="E31" s="3" t="inlineStr">
        <is>
          <t>FY2029E</t>
        </is>
      </c>
      <c r="F31" s="3" t="inlineStr">
        <is>
          <t>FY2030E</t>
        </is>
      </c>
    </row>
    <row r="32">
      <c r="A32" s="14" t="inlineStr">
        <is>
          <t>EBITDA</t>
        </is>
      </c>
      <c r="B32" s="15">
        <f>B18</f>
        <v/>
      </c>
      <c r="C32" s="15">
        <f>C18</f>
        <v/>
      </c>
      <c r="D32" s="15">
        <f>D18</f>
        <v/>
      </c>
      <c r="E32" s="15">
        <f>E18</f>
        <v/>
      </c>
      <c r="F32" s="15">
        <f>F18</f>
        <v/>
      </c>
    </row>
    <row r="33">
      <c r="A33" s="5" t="inlineStr">
        <is>
          <t xml:space="preserve">  (-) Interest</t>
        </is>
      </c>
      <c r="B33" s="17">
        <f>B28</f>
        <v/>
      </c>
      <c r="C33" s="17">
        <f>C28</f>
        <v/>
      </c>
      <c r="D33" s="17">
        <f>D28</f>
        <v/>
      </c>
      <c r="E33" s="17">
        <f>E28</f>
        <v/>
      </c>
      <c r="F33" s="17">
        <f>F28</f>
        <v/>
      </c>
    </row>
    <row r="34">
      <c r="A34" s="5" t="inlineStr">
        <is>
          <t xml:space="preserve">  (-) Tax (25%)</t>
        </is>
      </c>
      <c r="B34" s="17">
        <f>-(B32+B33)*0.25</f>
        <v/>
      </c>
      <c r="C34" s="17">
        <f>-(C32+C33)*0.25</f>
        <v/>
      </c>
      <c r="D34" s="17">
        <f>-(D32+D33)*0.25</f>
        <v/>
      </c>
      <c r="E34" s="17">
        <f>-(E32+E33)*0.25</f>
        <v/>
      </c>
      <c r="F34" s="17">
        <f>-(F32+F33)*0.25</f>
        <v/>
      </c>
    </row>
    <row r="35">
      <c r="A35" s="5" t="inlineStr">
        <is>
          <t xml:space="preserve">  (-) Capex (2% Rev)</t>
        </is>
      </c>
      <c r="B35" s="17">
        <f>-B17*0.02</f>
        <v/>
      </c>
      <c r="C35" s="17">
        <f>-C17*0.02</f>
        <v/>
      </c>
      <c r="D35" s="17">
        <f>-D17*0.02</f>
        <v/>
      </c>
      <c r="E35" s="17">
        <f>-E17*0.02</f>
        <v/>
      </c>
      <c r="F35" s="17">
        <f>-F17*0.02</f>
        <v/>
      </c>
    </row>
    <row r="36">
      <c r="A36" s="5" t="inlineStr">
        <is>
          <t xml:space="preserve">  (-) Amortisation</t>
        </is>
      </c>
      <c r="B36" s="17">
        <f>B24</f>
        <v/>
      </c>
      <c r="C36" s="17">
        <f>C24</f>
        <v/>
      </c>
      <c r="D36" s="17">
        <f>D24</f>
        <v/>
      </c>
      <c r="E36" s="17">
        <f>E24</f>
        <v/>
      </c>
      <c r="F36" s="17">
        <f>F24</f>
        <v/>
      </c>
    </row>
    <row r="37">
      <c r="A37" s="14" t="inlineStr">
        <is>
          <t>Free Cash Flow</t>
        </is>
      </c>
      <c r="B37" s="15">
        <f>B32+B33+B34+B35+B36</f>
        <v/>
      </c>
      <c r="C37" s="15">
        <f>C32+C33+C34+C35+C36</f>
        <v/>
      </c>
      <c r="D37" s="15">
        <f>D32+D33+D34+D35+D36</f>
        <v/>
      </c>
      <c r="E37" s="15">
        <f>E32+E33+E34+E35+E36</f>
        <v/>
      </c>
      <c r="F37" s="15">
        <f>F32+F33+F34+F35+F36</f>
        <v/>
      </c>
    </row>
    <row r="39">
      <c r="A39" s="4" t="inlineStr">
        <is>
          <t>EXIT ASSUMPTIONS &amp; RETURNS</t>
        </is>
      </c>
    </row>
    <row r="40">
      <c r="A40" s="5" t="inlineStr">
        <is>
          <t>Exit Year</t>
        </is>
      </c>
      <c r="B40" s="12" t="n">
        <v>5</v>
      </c>
    </row>
    <row r="41">
      <c r="A41" s="5" t="inlineStr">
        <is>
          <t>Exit EBITDA (FY2030E, Rs Cr)</t>
        </is>
      </c>
      <c r="B41" s="30">
        <f>'3-statement'!H6*1.10*1.10</f>
        <v/>
      </c>
    </row>
    <row r="42">
      <c r="A42" s="5" t="inlineStr">
        <is>
          <t>Exit EV/EBITDA Multiple (x)</t>
        </is>
      </c>
      <c r="B42" s="11" t="n">
        <v>12</v>
      </c>
    </row>
    <row r="43">
      <c r="A43" s="5" t="inlineStr">
        <is>
          <t>Exit Enterprise Value (Rs Cr)</t>
        </is>
      </c>
      <c r="B43" s="22">
        <f>B41*B42</f>
        <v/>
      </c>
    </row>
    <row r="44">
      <c r="A44" s="5" t="inlineStr">
        <is>
          <t>(-) Closing Debt at Exit</t>
        </is>
      </c>
      <c r="B44" s="30">
        <f>F25</f>
        <v/>
      </c>
    </row>
    <row r="45">
      <c r="A45" s="5" t="inlineStr">
        <is>
          <t>Equity Value at Exit (Rs Cr)</t>
        </is>
      </c>
      <c r="B45" s="22">
        <f>B43-B44</f>
        <v/>
      </c>
    </row>
    <row r="46">
      <c r="A46" s="5" t="inlineStr">
        <is>
          <t>Initial Equity Invested (Rs Cr)</t>
        </is>
      </c>
      <c r="B46" s="30">
        <f>B7</f>
        <v/>
      </c>
    </row>
    <row r="47">
      <c r="A47" s="5" t="inlineStr">
        <is>
          <t>Money-on-Money MOIC</t>
        </is>
      </c>
      <c r="B47" s="31">
        <f>B45/B46</f>
        <v/>
      </c>
    </row>
    <row r="48">
      <c r="A48" s="5" t="inlineStr">
        <is>
          <t>IRR (5-Year)</t>
        </is>
      </c>
      <c r="B48" s="32">
        <f>B47^(1/5)-1</f>
        <v/>
      </c>
    </row>
    <row r="50">
      <c r="A50" s="4" t="inlineStr">
        <is>
          <t>RETURNS SUMMARY</t>
        </is>
      </c>
    </row>
    <row r="51">
      <c r="A51" s="14" t="inlineStr">
        <is>
          <t>Entry EV (Rs Cr)</t>
        </is>
      </c>
      <c r="B51" s="22">
        <f>B6</f>
        <v/>
      </c>
    </row>
    <row r="52">
      <c r="A52" s="14" t="inlineStr">
        <is>
          <t>Exit EV (Rs Cr)</t>
        </is>
      </c>
      <c r="B52" s="22">
        <f>B43</f>
        <v/>
      </c>
    </row>
    <row r="53">
      <c r="A53" s="14" t="inlineStr">
        <is>
          <t>Entry Multiple (x)</t>
        </is>
      </c>
      <c r="B53" s="33">
        <f>B5</f>
        <v/>
      </c>
    </row>
    <row r="54">
      <c r="A54" s="14" t="inlineStr">
        <is>
          <t>Exit Multiple (x)</t>
        </is>
      </c>
      <c r="B54" s="33">
        <f>B42</f>
        <v/>
      </c>
    </row>
    <row r="55">
      <c r="A55" s="14" t="inlineStr">
        <is>
          <t>MOIC</t>
        </is>
      </c>
      <c r="B55" s="31">
        <f>B47</f>
        <v/>
      </c>
    </row>
    <row r="56">
      <c r="A56" s="14" t="inlineStr">
        <is>
          <t>IRR</t>
        </is>
      </c>
      <c r="B56" s="32">
        <f>B48</f>
        <v/>
      </c>
    </row>
    <row r="57">
      <c r="A57" s="14" t="inlineStr">
        <is>
          <t>Holding Period (Yrs)</t>
        </is>
      </c>
      <c r="B57" s="34">
        <f>B40</f>
        <v/>
      </c>
    </row>
  </sheetData>
  <mergeCells count="7">
    <mergeCell ref="A1:G1"/>
    <mergeCell ref="A3:G3"/>
    <mergeCell ref="A21:G21"/>
    <mergeCell ref="A39:G39"/>
    <mergeCell ref="A50:G50"/>
    <mergeCell ref="A30:G30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COMPARABLE COMPANIES ANALYSIS -- INDIAN IB SECTOR (Rs Crores)</t>
        </is>
      </c>
    </row>
    <row r="2">
      <c r="A2" s="3" t="inlineStr">
        <is>
          <t>Company</t>
        </is>
      </c>
      <c r="B2" s="3" t="inlineStr">
        <is>
          <t>Mkt Cap</t>
        </is>
      </c>
      <c r="C2" s="3" t="inlineStr">
        <is>
          <t>EV</t>
        </is>
      </c>
      <c r="D2" s="3" t="inlineStr">
        <is>
          <t>Revenue</t>
        </is>
      </c>
      <c r="E2" s="3" t="inlineStr">
        <is>
          <t>EBITDA</t>
        </is>
      </c>
      <c r="F2" s="3" t="inlineStr">
        <is>
          <t>Net Income</t>
        </is>
      </c>
      <c r="G2" s="3" t="inlineStr">
        <is>
          <t>EV/EBITDA</t>
        </is>
      </c>
      <c r="H2" s="3" t="inlineStr">
        <is>
          <t>P/E</t>
        </is>
      </c>
    </row>
    <row r="3">
      <c r="A3" s="4" t="inlineStr">
        <is>
          <t>PEER GROUP — INDIAN INVESTMENT BANKS</t>
        </is>
      </c>
    </row>
    <row r="4">
      <c r="A4" s="35" t="inlineStr">
        <is>
          <t>Motilal Oswal (Target)</t>
        </is>
      </c>
      <c r="B4" s="36" t="n">
        <v>42368</v>
      </c>
      <c r="C4" s="36" t="n">
        <v>50506</v>
      </c>
      <c r="D4" s="36" t="n">
        <v>6441</v>
      </c>
      <c r="E4" s="36" t="n">
        <v>4578</v>
      </c>
      <c r="F4" s="36" t="n">
        <v>2501</v>
      </c>
      <c r="G4" s="37" t="n">
        <v>11</v>
      </c>
      <c r="H4" s="37" t="n">
        <v>16.9</v>
      </c>
    </row>
    <row r="5">
      <c r="A5" s="5" t="inlineStr">
        <is>
          <t>Nuvama Wealth Mgmt</t>
        </is>
      </c>
      <c r="B5" s="38" t="n">
        <v>25532</v>
      </c>
      <c r="C5" s="38" t="n">
        <v>27800</v>
      </c>
      <c r="D5" s="38" t="n">
        <v>3200</v>
      </c>
      <c r="E5" s="38" t="n">
        <v>1920</v>
      </c>
      <c r="F5" s="38" t="n">
        <v>1100</v>
      </c>
      <c r="G5" s="39" t="n">
        <v>14.5</v>
      </c>
      <c r="H5" s="39" t="n">
        <v>23.2</v>
      </c>
    </row>
    <row r="6">
      <c r="A6" s="5" t="inlineStr">
        <is>
          <t>JM Financial</t>
        </is>
      </c>
      <c r="B6" s="38" t="n">
        <v>8200</v>
      </c>
      <c r="C6" s="38" t="n">
        <v>9800</v>
      </c>
      <c r="D6" s="38" t="n">
        <v>2100</v>
      </c>
      <c r="E6" s="38" t="n">
        <v>840</v>
      </c>
      <c r="F6" s="38" t="n">
        <v>520</v>
      </c>
      <c r="G6" s="39" t="n">
        <v>11.7</v>
      </c>
      <c r="H6" s="39" t="n">
        <v>15.8</v>
      </c>
    </row>
    <row r="7">
      <c r="A7" s="5" t="inlineStr">
        <is>
          <t>IIFL Capital Services</t>
        </is>
      </c>
      <c r="B7" s="38" t="n">
        <v>9800</v>
      </c>
      <c r="C7" s="38" t="n">
        <v>11200</v>
      </c>
      <c r="D7" s="38" t="n">
        <v>2800</v>
      </c>
      <c r="E7" s="38" t="n">
        <v>1120</v>
      </c>
      <c r="F7" s="38" t="n">
        <v>650</v>
      </c>
      <c r="G7" s="39" t="n">
        <v>10</v>
      </c>
      <c r="H7" s="39" t="n">
        <v>15.1</v>
      </c>
    </row>
    <row r="8">
      <c r="A8" s="5" t="inlineStr">
        <is>
          <t>Anand Rathi Wealth</t>
        </is>
      </c>
      <c r="B8" s="38" t="n">
        <v>25532</v>
      </c>
      <c r="C8" s="38" t="n">
        <v>25800</v>
      </c>
      <c r="D8" s="38" t="n">
        <v>1850</v>
      </c>
      <c r="E8" s="38" t="n">
        <v>1110</v>
      </c>
      <c r="F8" s="38" t="n">
        <v>780</v>
      </c>
      <c r="G8" s="39" t="n">
        <v>23.2</v>
      </c>
      <c r="H8" s="39" t="n">
        <v>32.7</v>
      </c>
    </row>
    <row r="10">
      <c r="A10" s="4" t="inlineStr">
        <is>
          <t>PEER STATISTICS</t>
        </is>
      </c>
    </row>
    <row r="11">
      <c r="A11" s="14" t="inlineStr">
        <is>
          <t>Mean</t>
        </is>
      </c>
      <c r="B11" s="40">
        <f>AVERAGE(B5:B8)</f>
        <v/>
      </c>
      <c r="C11" s="40">
        <f>AVERAGE(C5:C8)</f>
        <v/>
      </c>
      <c r="D11" s="40">
        <f>AVERAGE(D5:D8)</f>
        <v/>
      </c>
      <c r="E11" s="40">
        <f>AVERAGE(E5:E8)</f>
        <v/>
      </c>
      <c r="F11" s="40">
        <f>AVERAGE(F5:F8)</f>
        <v/>
      </c>
      <c r="G11" s="31">
        <f>AVERAGE(G5:G8)</f>
        <v/>
      </c>
      <c r="H11" s="31">
        <f>AVERAGE(H5:H8)</f>
        <v/>
      </c>
    </row>
    <row r="12">
      <c r="A12" s="14" t="inlineStr">
        <is>
          <t>Median</t>
        </is>
      </c>
      <c r="B12" s="40">
        <f>MEDIAN(B5:B8)</f>
        <v/>
      </c>
      <c r="C12" s="40">
        <f>MEDIAN(C5:C8)</f>
        <v/>
      </c>
      <c r="D12" s="40">
        <f>MEDIAN(D5:D8)</f>
        <v/>
      </c>
      <c r="E12" s="40">
        <f>MEDIAN(E5:E8)</f>
        <v/>
      </c>
      <c r="F12" s="40">
        <f>MEDIAN(F5:F8)</f>
        <v/>
      </c>
      <c r="G12" s="31">
        <f>MEDIAN(G5:G8)</f>
        <v/>
      </c>
      <c r="H12" s="31">
        <f>MEDIAN(H5:H8)</f>
        <v/>
      </c>
    </row>
    <row r="13">
      <c r="A13" s="14" t="inlineStr">
        <is>
          <t>High</t>
        </is>
      </c>
      <c r="B13" s="40">
        <f>MAX(B5:B8)</f>
        <v/>
      </c>
      <c r="C13" s="40">
        <f>MAX(C5:C8)</f>
        <v/>
      </c>
      <c r="D13" s="40">
        <f>MAX(D5:D8)</f>
        <v/>
      </c>
      <c r="E13" s="40">
        <f>MAX(E5:E8)</f>
        <v/>
      </c>
      <c r="F13" s="40">
        <f>MAX(F5:F8)</f>
        <v/>
      </c>
      <c r="G13" s="31">
        <f>MAX(G5:G8)</f>
        <v/>
      </c>
      <c r="H13" s="31">
        <f>MAX(H5:H8)</f>
        <v/>
      </c>
    </row>
    <row r="14">
      <c r="A14" s="14" t="inlineStr">
        <is>
          <t>Low</t>
        </is>
      </c>
      <c r="B14" s="40">
        <f>MIN(B5:B8)</f>
        <v/>
      </c>
      <c r="C14" s="40">
        <f>MIN(C5:C8)</f>
        <v/>
      </c>
      <c r="D14" s="40">
        <f>MIN(D5:D8)</f>
        <v/>
      </c>
      <c r="E14" s="40">
        <f>MIN(E5:E8)</f>
        <v/>
      </c>
      <c r="F14" s="40">
        <f>MIN(F5:F8)</f>
        <v/>
      </c>
      <c r="G14" s="31">
        <f>MIN(G5:G8)</f>
        <v/>
      </c>
      <c r="H14" s="31">
        <f>MIN(H5:H8)</f>
        <v/>
      </c>
    </row>
    <row r="16">
      <c r="A16" s="4" t="inlineStr">
        <is>
          <t>IMPLIED VALUATION OF MOTILAL OSWAL</t>
        </is>
      </c>
    </row>
    <row r="17">
      <c r="A17" s="3" t="inlineStr">
        <is>
          <t>Metric</t>
        </is>
      </c>
      <c r="B17" s="3" t="inlineStr">
        <is>
          <t>Multiple Used</t>
        </is>
      </c>
      <c r="C17" s="3" t="inlineStr">
        <is>
          <t>MOFSL Metric</t>
        </is>
      </c>
      <c r="D17" s="3" t="inlineStr">
        <is>
          <t>Implied EV</t>
        </is>
      </c>
      <c r="E17" s="3" t="inlineStr">
        <is>
          <t>(-) Net Debt</t>
        </is>
      </c>
      <c r="F17" s="3" t="inlineStr">
        <is>
          <t>Equity Value</t>
        </is>
      </c>
      <c r="G17" s="3" t="inlineStr">
        <is>
          <t>Implied Price</t>
        </is>
      </c>
      <c r="H17" s="3" t="inlineStr">
        <is>
          <t>vs DCF</t>
        </is>
      </c>
    </row>
    <row r="18">
      <c r="A18" s="5" t="inlineStr">
        <is>
          <t>EV/EBITDA — Mean</t>
        </is>
      </c>
      <c r="B18" s="39">
        <f>H11</f>
        <v/>
      </c>
      <c r="C18" s="38">
        <f>'3-Statement'!F6</f>
        <v/>
      </c>
      <c r="D18" s="38">
        <f>B18*C18</f>
        <v/>
      </c>
      <c r="E18" s="38">
        <f>Assumptions!B16</f>
        <v/>
      </c>
      <c r="F18" s="38">
        <f>D18-E18</f>
        <v/>
      </c>
      <c r="G18" s="41">
        <f>F18/Assumptions!B17*100</f>
        <v/>
      </c>
      <c r="H18" s="6">
        <f>G18/DCF!B31-1</f>
        <v/>
      </c>
    </row>
    <row r="19">
      <c r="A19" s="5" t="inlineStr">
        <is>
          <t>EV/EBITDA — Median</t>
        </is>
      </c>
      <c r="B19" s="39">
        <f>H12</f>
        <v/>
      </c>
      <c r="C19" s="38">
        <f>'3-Statement'!F6</f>
        <v/>
      </c>
      <c r="D19" s="38">
        <f>B19*C19</f>
        <v/>
      </c>
      <c r="E19" s="38">
        <f>Assumptions!B16</f>
        <v/>
      </c>
      <c r="F19" s="38">
        <f>D19-E19</f>
        <v/>
      </c>
      <c r="G19" s="41">
        <f>F19/Assumptions!B17*100</f>
        <v/>
      </c>
      <c r="H19" s="6">
        <f>G19/DCF!B31-1</f>
        <v/>
      </c>
    </row>
    <row r="20">
      <c r="A20" s="5" t="inlineStr">
        <is>
          <t>EV/EBITDA — High</t>
        </is>
      </c>
      <c r="B20" s="39">
        <f>H13</f>
        <v/>
      </c>
      <c r="C20" s="38">
        <f>'3-Statement'!F6</f>
        <v/>
      </c>
      <c r="D20" s="38">
        <f>B20*C20</f>
        <v/>
      </c>
      <c r="E20" s="38">
        <f>Assumptions!B16</f>
        <v/>
      </c>
      <c r="F20" s="38">
        <f>D20-E20</f>
        <v/>
      </c>
      <c r="G20" s="41">
        <f>F20/Assumptions!B17*100</f>
        <v/>
      </c>
      <c r="H20" s="6">
        <f>G20/DCF!B31-1</f>
        <v/>
      </c>
    </row>
    <row r="21">
      <c r="A21" s="5" t="inlineStr">
        <is>
          <t>EV/EBITDA — Low</t>
        </is>
      </c>
      <c r="B21" s="39">
        <f>H14</f>
        <v/>
      </c>
      <c r="C21" s="38">
        <f>'3-Statement'!F6</f>
        <v/>
      </c>
      <c r="D21" s="38">
        <f>B21*C21</f>
        <v/>
      </c>
      <c r="E21" s="38">
        <f>Assumptions!B16</f>
        <v/>
      </c>
      <c r="F21" s="38">
        <f>D21-E21</f>
        <v/>
      </c>
      <c r="G21" s="41">
        <f>F21/Assumptions!B17*100</f>
        <v/>
      </c>
      <c r="H21" s="6">
        <f>G21/DCF!B31-1</f>
        <v/>
      </c>
    </row>
    <row r="24">
      <c r="A24" s="4" t="inlineStr">
        <is>
          <t>KEY METRICS SUMMARY</t>
        </is>
      </c>
    </row>
    <row r="25">
      <c r="A25" s="3" t="inlineStr">
        <is>
          <t>Company</t>
        </is>
      </c>
      <c r="B25" s="3" t="inlineStr">
        <is>
          <t>Revenue Gr%</t>
        </is>
      </c>
      <c r="C25" s="3" t="inlineStr">
        <is>
          <t>EBITDA Mgn%</t>
        </is>
      </c>
      <c r="D25" s="3" t="inlineStr">
        <is>
          <t>Net Inc Mgn%</t>
        </is>
      </c>
      <c r="E25" s="3" t="inlineStr">
        <is>
          <t>EV/EBITDA</t>
        </is>
      </c>
      <c r="F25" s="3" t="inlineStr">
        <is>
          <t>P/E</t>
        </is>
      </c>
      <c r="G25" s="3" t="inlineStr">
        <is>
          <t>Mkt Cap</t>
        </is>
      </c>
      <c r="H25" s="3" t="inlineStr">
        <is>
          <t>Rating</t>
        </is>
      </c>
    </row>
    <row r="26">
      <c r="A26" s="35" t="inlineStr">
        <is>
          <t>Motilal Oswal</t>
        </is>
      </c>
      <c r="B26" s="42" t="n">
        <v>0.245</v>
      </c>
      <c r="C26" s="42" t="n">
        <v>0.711</v>
      </c>
      <c r="D26" s="42" t="n">
        <v>0.388</v>
      </c>
      <c r="E26" s="37" t="n">
        <v>11</v>
      </c>
      <c r="F26" s="37" t="n">
        <v>16.9</v>
      </c>
      <c r="G26" s="36" t="n">
        <v>42368</v>
      </c>
      <c r="H26" s="43" t="inlineStr">
        <is>
          <t>TARGET</t>
        </is>
      </c>
    </row>
    <row r="27">
      <c r="A27" s="5" t="inlineStr">
        <is>
          <t>Nuvama Wealth</t>
        </is>
      </c>
      <c r="B27" s="6" t="n">
        <v>0.18</v>
      </c>
      <c r="C27" s="6" t="n">
        <v>0.6</v>
      </c>
      <c r="D27" s="6" t="n">
        <v>0.344</v>
      </c>
      <c r="E27" s="39" t="n">
        <v>14.5</v>
      </c>
      <c r="F27" s="39" t="n">
        <v>23.2</v>
      </c>
      <c r="G27" s="38" t="n">
        <v>25532</v>
      </c>
      <c r="H27" s="44" t="inlineStr">
        <is>
          <t>COMP</t>
        </is>
      </c>
    </row>
    <row r="28">
      <c r="A28" s="5" t="inlineStr">
        <is>
          <t>JM Financial</t>
        </is>
      </c>
      <c r="B28" s="6" t="n">
        <v>0.15</v>
      </c>
      <c r="C28" s="6" t="n">
        <v>0.4</v>
      </c>
      <c r="D28" s="6" t="n">
        <v>0.248</v>
      </c>
      <c r="E28" s="39" t="n">
        <v>11.7</v>
      </c>
      <c r="F28" s="39" t="n">
        <v>15.8</v>
      </c>
      <c r="G28" s="38" t="n">
        <v>8200</v>
      </c>
      <c r="H28" s="44" t="inlineStr">
        <is>
          <t>COMP</t>
        </is>
      </c>
    </row>
    <row r="29">
      <c r="A29" s="5" t="inlineStr">
        <is>
          <t>IIFL Capital</t>
        </is>
      </c>
      <c r="B29" s="6" t="n">
        <v>0.2</v>
      </c>
      <c r="C29" s="6" t="n">
        <v>0.4</v>
      </c>
      <c r="D29" s="6" t="n">
        <v>0.232</v>
      </c>
      <c r="E29" s="39" t="n">
        <v>10</v>
      </c>
      <c r="F29" s="39" t="n">
        <v>15.1</v>
      </c>
      <c r="G29" s="38" t="n">
        <v>9800</v>
      </c>
      <c r="H29" s="44" t="inlineStr">
        <is>
          <t>COMP</t>
        </is>
      </c>
    </row>
    <row r="30">
      <c r="A30" s="5" t="inlineStr">
        <is>
          <t>Anand Rathi</t>
        </is>
      </c>
      <c r="B30" s="6" t="n">
        <v>0.22</v>
      </c>
      <c r="C30" s="6" t="n">
        <v>0.6</v>
      </c>
      <c r="D30" s="6" t="n">
        <v>0.422</v>
      </c>
      <c r="E30" s="39" t="n">
        <v>23.2</v>
      </c>
      <c r="F30" s="39" t="n">
        <v>32.7</v>
      </c>
      <c r="G30" s="38" t="n">
        <v>25532</v>
      </c>
      <c r="H30" s="44" t="inlineStr">
        <is>
          <t>COMP</t>
        </is>
      </c>
    </row>
  </sheetData>
  <mergeCells count="5">
    <mergeCell ref="A3:H3"/>
    <mergeCell ref="A24:H24"/>
    <mergeCell ref="A16:H16"/>
    <mergeCell ref="A10:H10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FOOTBALL FIELD VALUATION SUMMARY -- MOTILAL OSWAL</t>
        </is>
      </c>
    </row>
    <row r="2">
      <c r="A2" s="45" t="inlineStr">
        <is>
          <t>Implied Share Price (Rs) across all valuation methodologies</t>
        </is>
      </c>
    </row>
    <row r="4">
      <c r="A4" s="4" t="inlineStr">
        <is>
          <t>STEP 1 -- VALUATION RANGE INPUTS (Rs per share)</t>
        </is>
      </c>
    </row>
    <row r="5">
      <c r="A5" s="3" t="inlineStr">
        <is>
          <t>Methodology</t>
        </is>
      </c>
      <c r="B5" s="3" t="inlineStr">
        <is>
          <t>Low</t>
        </is>
      </c>
      <c r="C5" s="3" t="inlineStr">
        <is>
          <t>Mid</t>
        </is>
      </c>
      <c r="D5" s="3" t="inlineStr">
        <is>
          <t>High</t>
        </is>
      </c>
      <c r="E5" s="3" t="inlineStr">
        <is>
          <t>Weight</t>
        </is>
      </c>
      <c r="F5" s="3" t="inlineStr">
        <is>
          <t>Wtd Low</t>
        </is>
      </c>
      <c r="G5" s="3" t="inlineStr">
        <is>
          <t>Wtd Mid</t>
        </is>
      </c>
      <c r="H5" s="3" t="inlineStr">
        <is>
          <t>Wtd High</t>
        </is>
      </c>
      <c r="I5" s="3" t="inlineStr">
        <is>
          <t>Notes</t>
        </is>
      </c>
    </row>
    <row r="6">
      <c r="A6" s="35" t="inlineStr">
        <is>
          <t>DCF Valuation</t>
        </is>
      </c>
      <c r="B6" s="46">
        <f>DCF!B31*0.85</f>
        <v/>
      </c>
      <c r="C6" s="41">
        <f>DCF!B31</f>
        <v/>
      </c>
      <c r="D6" s="46">
        <f>DCF!B31*1.15</f>
        <v/>
      </c>
      <c r="E6" s="47" t="n">
        <v>0.35</v>
      </c>
      <c r="F6" s="48">
        <f>B6*E6</f>
        <v/>
      </c>
      <c r="G6" s="41">
        <f>C6*E6</f>
        <v/>
      </c>
      <c r="H6" s="48">
        <f>D6*E6</f>
        <v/>
      </c>
      <c r="I6" s="49" t="inlineStr">
        <is>
          <t>WACC 14%, TGR 5%, 3-yr projection</t>
        </is>
      </c>
    </row>
    <row r="7">
      <c r="A7" s="5" t="inlineStr">
        <is>
          <t>EV/EBITDA Comps — Low</t>
        </is>
      </c>
      <c r="B7" s="48">
        <f>Comps!G21</f>
        <v/>
      </c>
      <c r="C7" s="41">
        <f>Comps!G19</f>
        <v/>
      </c>
      <c r="D7" s="48">
        <f>Comps!G18</f>
        <v/>
      </c>
      <c r="E7" s="47" t="n">
        <v>0.25</v>
      </c>
      <c r="F7" s="48">
        <f>B7*E7</f>
        <v/>
      </c>
      <c r="G7" s="41">
        <f>C7*E7</f>
        <v/>
      </c>
      <c r="H7" s="48">
        <f>D7*E7</f>
        <v/>
      </c>
      <c r="I7" s="49" t="inlineStr">
        <is>
          <t>Peer group: NUVAMA, JM, IIFL, ANAND RATHI</t>
        </is>
      </c>
    </row>
    <row r="8">
      <c r="A8" s="5" t="inlineStr">
        <is>
          <t>LBO Floor Valuation</t>
        </is>
      </c>
      <c r="B8" s="48">
        <f>LBO!B45/Assumptions!B17*100*0.90</f>
        <v/>
      </c>
      <c r="C8" s="41">
        <f>LBO!B45/Assumptions!B17*100</f>
        <v/>
      </c>
      <c r="D8" s="48">
        <f>LBO!B45/Assumptions!B17*100*1.10</f>
        <v/>
      </c>
      <c r="E8" s="47" t="n">
        <v>0.2</v>
      </c>
      <c r="F8" s="48">
        <f>B8*E8</f>
        <v/>
      </c>
      <c r="G8" s="41">
        <f>C8*E8</f>
        <v/>
      </c>
      <c r="H8" s="48">
        <f>D8*E8</f>
        <v/>
      </c>
      <c r="I8" s="49" t="inlineStr">
        <is>
          <t>PE entry 10x, exit 12x, 5yr, 18.9% IRR</t>
        </is>
      </c>
    </row>
    <row r="9">
      <c r="A9" s="5" t="inlineStr">
        <is>
          <t>52-Week Trading Range</t>
        </is>
      </c>
      <c r="B9" s="48" t="n">
        <v>800</v>
      </c>
      <c r="C9" s="41" t="n">
        <v>1100</v>
      </c>
      <c r="D9" s="48" t="n">
        <v>1400</v>
      </c>
      <c r="E9" s="47" t="n">
        <v>0.1</v>
      </c>
      <c r="F9" s="48">
        <f>B9*E9</f>
        <v/>
      </c>
      <c r="G9" s="41">
        <f>C9*E9</f>
        <v/>
      </c>
      <c r="H9" s="48">
        <f>D9*E9</f>
        <v/>
      </c>
      <c r="I9" s="49" t="inlineStr">
        <is>
          <t>NSE 52W Low-High range</t>
        </is>
      </c>
    </row>
    <row r="10">
      <c r="A10" s="5" t="inlineStr">
        <is>
          <t>Book Value (P/BV 3-4x)</t>
        </is>
      </c>
      <c r="B10" s="48">
        <f>Assumptions!B17*0+11079.3/14.4*100*3</f>
        <v/>
      </c>
      <c r="C10" s="41">
        <f>Assumptions!B17*0+11079.3/14.4*100*3.5</f>
        <v/>
      </c>
      <c r="D10" s="48">
        <f>Assumptions!B17*0+11079.3/14.4*100*4</f>
        <v/>
      </c>
      <c r="E10" s="47" t="n">
        <v>0.1</v>
      </c>
      <c r="F10" s="48">
        <f>B10*E10</f>
        <v/>
      </c>
      <c r="G10" s="41">
        <f>C10*E10</f>
        <v/>
      </c>
      <c r="H10" s="48">
        <f>D10*E10</f>
        <v/>
      </c>
      <c r="I10" s="49" t="inlineStr">
        <is>
          <t>Equity Rs 11,079 Cr, 14.4 Cr shares</t>
        </is>
      </c>
    </row>
    <row r="11">
      <c r="A11" s="50" t="inlineStr">
        <is>
          <t>WEIGHTED AVERAGE</t>
        </is>
      </c>
      <c r="B11" s="51" t="inlineStr">
        <is>
          <t>---</t>
        </is>
      </c>
      <c r="C11" s="51" t="inlineStr">
        <is>
          <t>---</t>
        </is>
      </c>
      <c r="D11" s="51" t="inlineStr">
        <is>
          <t>---</t>
        </is>
      </c>
      <c r="E11" s="52">
        <f>SUM(E6:E10)</f>
        <v/>
      </c>
      <c r="F11" s="53">
        <f>SUM(F6:F10)</f>
        <v/>
      </c>
      <c r="G11" s="53">
        <f>SUM(G6:G10)</f>
        <v/>
      </c>
      <c r="H11" s="53">
        <f>SUM(H6:H10)</f>
        <v/>
      </c>
    </row>
    <row r="13">
      <c r="A13" s="4" t="inlineStr">
        <is>
          <t>STEP 2 -- FOOTBALL FIELD CHART (Visual Range)</t>
        </is>
      </c>
    </row>
    <row r="15">
      <c r="A15" s="54" t="inlineStr">
        <is>
          <t>Methodology</t>
        </is>
      </c>
      <c r="B15" s="55" t="inlineStr">
        <is>
          <t>Rs200</t>
        </is>
      </c>
      <c r="C15" s="55" t="inlineStr">
        <is>
          <t>Rs400</t>
        </is>
      </c>
      <c r="D15" s="55" t="inlineStr">
        <is>
          <t>Rs600</t>
        </is>
      </c>
      <c r="E15" s="55" t="inlineStr">
        <is>
          <t>Rs800</t>
        </is>
      </c>
      <c r="F15" s="55" t="inlineStr">
        <is>
          <t>Rs1000</t>
        </is>
      </c>
      <c r="G15" s="55" t="inlineStr">
        <is>
          <t>Rs1200</t>
        </is>
      </c>
      <c r="H15" s="55" t="inlineStr">
        <is>
          <t>Rs1400</t>
        </is>
      </c>
      <c r="I15" s="55" t="inlineStr">
        <is>
          <t>Rs1600</t>
        </is>
      </c>
      <c r="J15" s="55" t="inlineStr">
        <is>
          <t>Rs1800</t>
        </is>
      </c>
    </row>
    <row r="16">
      <c r="A16" s="56" t="inlineStr">
        <is>
          <t>DCF</t>
        </is>
      </c>
      <c r="B16" s="57" t="n"/>
      <c r="C16" s="57" t="n"/>
      <c r="D16" s="57" t="n"/>
      <c r="E16" s="57" t="n"/>
      <c r="F16" s="57" t="n"/>
      <c r="G16" s="57" t="n"/>
      <c r="H16" s="58" t="inlineStr"/>
      <c r="I16" s="58" t="inlineStr"/>
      <c r="J16" s="58" t="inlineStr"/>
    </row>
    <row r="17">
      <c r="A17" s="56" t="inlineStr">
        <is>
          <t>EV/EBITDA Comps</t>
        </is>
      </c>
      <c r="B17" s="57" t="n"/>
      <c r="C17" s="57" t="n"/>
      <c r="D17" s="57" t="n"/>
      <c r="E17" s="57" t="n"/>
      <c r="F17" s="59" t="inlineStr"/>
      <c r="G17" s="59" t="inlineStr"/>
      <c r="H17" s="59" t="inlineStr"/>
      <c r="I17" s="59" t="inlineStr"/>
      <c r="J17" s="59" t="inlineStr"/>
    </row>
    <row r="18">
      <c r="A18" s="56" t="inlineStr">
        <is>
          <t>LBO Floor</t>
        </is>
      </c>
      <c r="B18" s="57" t="n"/>
      <c r="C18" s="57" t="n"/>
      <c r="D18" s="57" t="n"/>
      <c r="E18" s="57" t="n"/>
      <c r="F18" s="57" t="n"/>
      <c r="G18" s="57" t="n"/>
      <c r="H18" s="57" t="n"/>
      <c r="I18" s="60" t="inlineStr"/>
      <c r="J18" s="60" t="inlineStr"/>
    </row>
    <row r="19">
      <c r="A19" s="56" t="inlineStr">
        <is>
          <t>52-Week Range</t>
        </is>
      </c>
      <c r="B19" s="57" t="n"/>
      <c r="C19" s="57" t="n"/>
      <c r="D19" s="57" t="n"/>
      <c r="E19" s="57" t="n"/>
      <c r="F19" s="61" t="inlineStr"/>
      <c r="G19" s="61" t="inlineStr"/>
      <c r="H19" s="61" t="inlineStr"/>
      <c r="I19" s="57" t="n"/>
      <c r="J19" s="57" t="n"/>
    </row>
    <row r="20">
      <c r="A20" s="56" t="inlineStr">
        <is>
          <t>P/Book Value</t>
        </is>
      </c>
      <c r="B20" s="57" t="n"/>
      <c r="C20" s="57" t="n"/>
      <c r="D20" s="57" t="n"/>
      <c r="E20" s="57" t="n"/>
      <c r="F20" s="57" t="n"/>
      <c r="G20" s="57" t="n"/>
      <c r="H20" s="57" t="n"/>
      <c r="I20" s="57" t="n"/>
      <c r="J20" s="57" t="n"/>
    </row>
    <row r="22">
      <c r="A22" s="62" t="inlineStr">
        <is>
          <t>Current Market Price ~Rs 768 (as of data fetch) | 52W High Rs 1,064 | 52W Low Rs 612</t>
        </is>
      </c>
    </row>
    <row r="24">
      <c r="A24" s="4" t="inlineStr">
        <is>
          <t>STEP 3 -- FINAL VALUATION CONCLUSION</t>
        </is>
      </c>
    </row>
    <row r="25">
      <c r="A25" s="14" t="inlineStr">
        <is>
          <t>Weighted Average Low  (Rs)</t>
        </is>
      </c>
      <c r="B25" s="41">
        <f>F11</f>
        <v/>
      </c>
    </row>
    <row r="26">
      <c r="A26" s="14" t="inlineStr">
        <is>
          <t>Weighted Average Mid  (Rs)</t>
        </is>
      </c>
      <c r="B26" s="41">
        <f>G11</f>
        <v/>
      </c>
    </row>
    <row r="27">
      <c r="A27" s="14" t="inlineStr">
        <is>
          <t>Weighted Average High (Rs)</t>
        </is>
      </c>
      <c r="B27" s="41">
        <f>H11</f>
        <v/>
      </c>
    </row>
    <row r="28">
      <c r="A28" s="5" t="inlineStr">
        <is>
          <t>Current Market Price  (Rs)</t>
        </is>
      </c>
      <c r="B28" s="63" t="n">
        <v>768</v>
      </c>
    </row>
    <row r="29">
      <c r="A29" s="14" t="inlineStr">
        <is>
          <t>Upside to Mid (Wtd Avg)</t>
        </is>
      </c>
      <c r="B29" s="32">
        <f>B26/B28-1</f>
        <v/>
      </c>
    </row>
    <row r="30">
      <c r="A30" s="14" t="inlineStr">
        <is>
          <t>Analyst Rating</t>
        </is>
      </c>
      <c r="B30" s="64" t="inlineStr">
        <is>
          <t>BUY</t>
        </is>
      </c>
    </row>
  </sheetData>
  <mergeCells count="6">
    <mergeCell ref="A1:J1"/>
    <mergeCell ref="A22:J22"/>
    <mergeCell ref="A4:J4"/>
    <mergeCell ref="A24:J24"/>
    <mergeCell ref="A2:J2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2026-03-13T11:09:23Z</dcterms:created>
  <dcterms:modified xsi:type="dcterms:W3CDTF">2026-03-13T11:09:23Z</dcterms:modified>
</cp:coreProperties>
</file>